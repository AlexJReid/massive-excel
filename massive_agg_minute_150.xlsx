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AGG_MINUTE" sheetId="1" r:id="rId1"/>
  </sheets>
</workbook>
</file>

<file path=xl/sharedStrings.xml><?xml version="1.0" encoding="utf-8"?>
<sst xmlns="http://schemas.openxmlformats.org/spreadsheetml/2006/main" count="160" uniqueCount="160">
  <si>
    <t>Symbol</t>
  </si>
  <si>
    <t>Open</t>
  </si>
  <si>
    <t>High</t>
  </si>
  <si>
    <t>Low</t>
  </si>
  <si>
    <t>Close</t>
  </si>
  <si>
    <t>Volume</t>
  </si>
  <si>
    <t>VWAP Day</t>
  </si>
  <si>
    <t>VWAP Bar</t>
  </si>
  <si>
    <t>Open Day</t>
  </si>
  <si>
    <t>Cum Vol</t>
  </si>
  <si>
    <t>A</t>
  </si>
  <si>
    <t>AAL</t>
  </si>
  <si>
    <t>AAPL</t>
  </si>
  <si>
    <t>ABBV</t>
  </si>
  <si>
    <t>ABNB</t>
  </si>
  <si>
    <t>ABT</t>
  </si>
  <si>
    <t>ACGL</t>
  </si>
  <si>
    <t>ACN</t>
  </si>
  <si>
    <t>ADBE</t>
  </si>
  <si>
    <t>ADI</t>
  </si>
  <si>
    <t>ADP</t>
  </si>
  <si>
    <t>ADSK</t>
  </si>
  <si>
    <t>AEP</t>
  </si>
  <si>
    <t>AFL</t>
  </si>
  <si>
    <t>AIG</t>
  </si>
  <si>
    <t>AJG</t>
  </si>
  <si>
    <t>AMD</t>
  </si>
  <si>
    <t>AMGN</t>
  </si>
  <si>
    <t>AMT</t>
  </si>
  <si>
    <t>AMZN</t>
  </si>
  <si>
    <t>ANET</t>
  </si>
  <si>
    <t>AON</t>
  </si>
  <si>
    <t>APH</t>
  </si>
  <si>
    <t>ARM</t>
  </si>
  <si>
    <t>AVGO</t>
  </si>
  <si>
    <t>AZO</t>
  </si>
  <si>
    <t>BA</t>
  </si>
  <si>
    <t>BAC</t>
  </si>
  <si>
    <t>BDX</t>
  </si>
  <si>
    <t>BK</t>
  </si>
  <si>
    <t>BKNG</t>
  </si>
  <si>
    <t>BLK</t>
  </si>
  <si>
    <t>BMY</t>
  </si>
  <si>
    <t>CARR</t>
  </si>
  <si>
    <t>CAT</t>
  </si>
  <si>
    <t>CB</t>
  </si>
  <si>
    <t>CCI</t>
  </si>
  <si>
    <t>CDNS</t>
  </si>
  <si>
    <t>CHTR</t>
  </si>
  <si>
    <t>CI</t>
  </si>
  <si>
    <t>CL</t>
  </si>
  <si>
    <t>CME</t>
  </si>
  <si>
    <t>CMG</t>
  </si>
  <si>
    <t>COF</t>
  </si>
  <si>
    <t>COIN</t>
  </si>
  <si>
    <t>COST</t>
  </si>
  <si>
    <t>CPRT</t>
  </si>
  <si>
    <t>CRM</t>
  </si>
  <si>
    <t>CRWD</t>
  </si>
  <si>
    <t>CSCO</t>
  </si>
  <si>
    <t>CSX</t>
  </si>
  <si>
    <t>CTAS</t>
  </si>
  <si>
    <t>CTVA</t>
  </si>
  <si>
    <t>CVX</t>
  </si>
  <si>
    <t>D</t>
  </si>
  <si>
    <t>DAL</t>
  </si>
  <si>
    <t>DDOG</t>
  </si>
  <si>
    <t>DE</t>
  </si>
  <si>
    <t>DELL</t>
  </si>
  <si>
    <t>DHI</t>
  </si>
  <si>
    <t>DHR</t>
  </si>
  <si>
    <t>DLR</t>
  </si>
  <si>
    <t>DUK</t>
  </si>
  <si>
    <t>DXCM</t>
  </si>
  <si>
    <t>ECL</t>
  </si>
  <si>
    <t>EMR</t>
  </si>
  <si>
    <t>EQIX</t>
  </si>
  <si>
    <t>ETN</t>
  </si>
  <si>
    <t>EW</t>
  </si>
  <si>
    <t>EXC</t>
  </si>
  <si>
    <t>F</t>
  </si>
  <si>
    <t>FANG</t>
  </si>
  <si>
    <t>FAST</t>
  </si>
  <si>
    <t>FTNT</t>
  </si>
  <si>
    <t>GD</t>
  </si>
  <si>
    <t>GE</t>
  </si>
  <si>
    <t>GEHC</t>
  </si>
  <si>
    <t>GM</t>
  </si>
  <si>
    <t>GOOG</t>
  </si>
  <si>
    <t>GOOGL</t>
  </si>
  <si>
    <t>GS</t>
  </si>
  <si>
    <t>HCA</t>
  </si>
  <si>
    <t>HD</t>
  </si>
  <si>
    <t>HLT</t>
  </si>
  <si>
    <t>HSY</t>
  </si>
  <si>
    <t>HUBS</t>
  </si>
  <si>
    <t>IBM</t>
  </si>
  <si>
    <t>ICE</t>
  </si>
  <si>
    <t>IDXX</t>
  </si>
  <si>
    <t>INTC</t>
  </si>
  <si>
    <t>INTU</t>
  </si>
  <si>
    <t>IQV</t>
  </si>
  <si>
    <t>ISRG</t>
  </si>
  <si>
    <t>ITW</t>
  </si>
  <si>
    <t>JNJ</t>
  </si>
  <si>
    <t>JPM</t>
  </si>
  <si>
    <t>KDP</t>
  </si>
  <si>
    <t>KLAC</t>
  </si>
  <si>
    <t>KMB</t>
  </si>
  <si>
    <t>KO</t>
  </si>
  <si>
    <t>KR</t>
  </si>
  <si>
    <t>LHX</t>
  </si>
  <si>
    <t>LIN</t>
  </si>
  <si>
    <t>LLY</t>
  </si>
  <si>
    <t>LOW</t>
  </si>
  <si>
    <t>LRCX</t>
  </si>
  <si>
    <t>LULU</t>
  </si>
  <si>
    <t>LUV</t>
  </si>
  <si>
    <t>MA</t>
  </si>
  <si>
    <t>MAR</t>
  </si>
  <si>
    <t>MCD</t>
  </si>
  <si>
    <t>MCHP</t>
  </si>
  <si>
    <t>MCO</t>
  </si>
  <si>
    <t>MDB</t>
  </si>
  <si>
    <t>MDLZ</t>
  </si>
  <si>
    <t>MELI</t>
  </si>
  <si>
    <t>META</t>
  </si>
  <si>
    <t>MLM</t>
  </si>
  <si>
    <t>MNST</t>
  </si>
  <si>
    <t>MO</t>
  </si>
  <si>
    <t>MPC</t>
  </si>
  <si>
    <t>MRK</t>
  </si>
  <si>
    <t>MRVL</t>
  </si>
  <si>
    <t>MSCI</t>
  </si>
  <si>
    <t>MSFT</t>
  </si>
  <si>
    <t>MSI</t>
  </si>
  <si>
    <t>MTD</t>
  </si>
  <si>
    <t>MU</t>
  </si>
  <si>
    <t>NDAQ</t>
  </si>
  <si>
    <t>NEM</t>
  </si>
  <si>
    <t>NET</t>
  </si>
  <si>
    <t>NFLX</t>
  </si>
  <si>
    <t>NOC</t>
  </si>
  <si>
    <t>NOW</t>
  </si>
  <si>
    <t>NSC</t>
  </si>
  <si>
    <t>NVDA</t>
  </si>
  <si>
    <t>O</t>
  </si>
  <si>
    <t>ODFL</t>
  </si>
  <si>
    <t>OKE</t>
  </si>
  <si>
    <t>ON</t>
  </si>
  <si>
    <t>ORCL</t>
  </si>
  <si>
    <t>ORLY</t>
  </si>
  <si>
    <t>PANW</t>
  </si>
  <si>
    <t>PAYX</t>
  </si>
  <si>
    <t>PEP</t>
  </si>
  <si>
    <t>PFE</t>
  </si>
  <si>
    <t>PG</t>
  </si>
  <si>
    <t>PGR</t>
  </si>
  <si>
    <t>PLD</t>
  </si>
  <si>
    <t>PLTR</t>
  </si>
</sst>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10" bestFit="1" customWidth="1"/>
    <col min="2" max="10" width="18" bestFit="1" customWidth="1"/>
  </cols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>
      <c r="A2" t="s">
        <v>10</v>
      </c>
      <c r="B2">
        <f>MASSIVE.STOCKS.AGG_MINUTE("A","o")</f>
      </c>
      <c r="C2">
        <f>MASSIVE.STOCKS.AGG_MINUTE("A","h")</f>
      </c>
      <c r="D2">
        <f>MASSIVE.STOCKS.AGG_MINUTE("A","l")</f>
      </c>
      <c r="E2">
        <f>MASSIVE.STOCKS.AGG_MINUTE("A","c")</f>
      </c>
      <c r="F2">
        <f>MASSIVE.STOCKS.AGG_MINUTE("A","v")</f>
      </c>
      <c r="G2">
        <f>MASSIVE.STOCKS.AGG_MINUTE("A","a")</f>
      </c>
      <c r="H2">
        <f>MASSIVE.STOCKS.AGG_MINUTE("A","vw")</f>
      </c>
      <c r="I2">
        <f>MASSIVE.STOCKS.AGG_MINUTE("A","op")</f>
      </c>
      <c r="J2">
        <f>MASSIVE.STOCKS.AGG_MINUTE("A","av")</f>
      </c>
    </row>
    <row r="3">
      <c r="A3" t="s">
        <v>11</v>
      </c>
      <c r="B3">
        <f>MASSIVE.STOCKS.AGG_MINUTE("AAL","o")</f>
      </c>
      <c r="C3">
        <f>MASSIVE.STOCKS.AGG_MINUTE("AAL","h")</f>
      </c>
      <c r="D3">
        <f>MASSIVE.STOCKS.AGG_MINUTE("AAL","l")</f>
      </c>
      <c r="E3">
        <f>MASSIVE.STOCKS.AGG_MINUTE("AAL","c")</f>
      </c>
      <c r="F3">
        <f>MASSIVE.STOCKS.AGG_MINUTE("AAL","v")</f>
      </c>
      <c r="G3">
        <f>MASSIVE.STOCKS.AGG_MINUTE("AAL","a")</f>
      </c>
      <c r="H3">
        <f>MASSIVE.STOCKS.AGG_MINUTE("AAL","vw")</f>
      </c>
      <c r="I3">
        <f>MASSIVE.STOCKS.AGG_MINUTE("AAL","op")</f>
      </c>
      <c r="J3">
        <f>MASSIVE.STOCKS.AGG_MINUTE("AAL","av")</f>
      </c>
    </row>
    <row r="4">
      <c r="A4" t="s">
        <v>12</v>
      </c>
      <c r="B4">
        <f>MASSIVE.STOCKS.AGG_MINUTE("AAPL","o")</f>
      </c>
      <c r="C4">
        <f>MASSIVE.STOCKS.AGG_MINUTE("AAPL","h")</f>
      </c>
      <c r="D4">
        <f>MASSIVE.STOCKS.AGG_MINUTE("AAPL","l")</f>
      </c>
      <c r="E4">
        <f>MASSIVE.STOCKS.AGG_MINUTE("AAPL","c")</f>
      </c>
      <c r="F4">
        <f>MASSIVE.STOCKS.AGG_MINUTE("AAPL","v")</f>
      </c>
      <c r="G4">
        <f>MASSIVE.STOCKS.AGG_MINUTE("AAPL","a")</f>
      </c>
      <c r="H4">
        <f>MASSIVE.STOCKS.AGG_MINUTE("AAPL","vw")</f>
      </c>
      <c r="I4">
        <f>MASSIVE.STOCKS.AGG_MINUTE("AAPL","op")</f>
      </c>
      <c r="J4">
        <f>MASSIVE.STOCKS.AGG_MINUTE("AAPL","av")</f>
      </c>
    </row>
    <row r="5">
      <c r="A5" t="s">
        <v>13</v>
      </c>
      <c r="B5">
        <f>MASSIVE.STOCKS.AGG_MINUTE("ABBV","o")</f>
      </c>
      <c r="C5">
        <f>MASSIVE.STOCKS.AGG_MINUTE("ABBV","h")</f>
      </c>
      <c r="D5">
        <f>MASSIVE.STOCKS.AGG_MINUTE("ABBV","l")</f>
      </c>
      <c r="E5">
        <f>MASSIVE.STOCKS.AGG_MINUTE("ABBV","c")</f>
      </c>
      <c r="F5">
        <f>MASSIVE.STOCKS.AGG_MINUTE("ABBV","v")</f>
      </c>
      <c r="G5">
        <f>MASSIVE.STOCKS.AGG_MINUTE("ABBV","a")</f>
      </c>
      <c r="H5">
        <f>MASSIVE.STOCKS.AGG_MINUTE("ABBV","vw")</f>
      </c>
      <c r="I5">
        <f>MASSIVE.STOCKS.AGG_MINUTE("ABBV","op")</f>
      </c>
      <c r="J5">
        <f>MASSIVE.STOCKS.AGG_MINUTE("ABBV","av")</f>
      </c>
    </row>
    <row r="6">
      <c r="A6" t="s">
        <v>14</v>
      </c>
      <c r="B6">
        <f>MASSIVE.STOCKS.AGG_MINUTE("ABNB","o")</f>
      </c>
      <c r="C6">
        <f>MASSIVE.STOCKS.AGG_MINUTE("ABNB","h")</f>
      </c>
      <c r="D6">
        <f>MASSIVE.STOCKS.AGG_MINUTE("ABNB","l")</f>
      </c>
      <c r="E6">
        <f>MASSIVE.STOCKS.AGG_MINUTE("ABNB","c")</f>
      </c>
      <c r="F6">
        <f>MASSIVE.STOCKS.AGG_MINUTE("ABNB","v")</f>
      </c>
      <c r="G6">
        <f>MASSIVE.STOCKS.AGG_MINUTE("ABNB","a")</f>
      </c>
      <c r="H6">
        <f>MASSIVE.STOCKS.AGG_MINUTE("ABNB","vw")</f>
      </c>
      <c r="I6">
        <f>MASSIVE.STOCKS.AGG_MINUTE("ABNB","op")</f>
      </c>
      <c r="J6">
        <f>MASSIVE.STOCKS.AGG_MINUTE("ABNB","av")</f>
      </c>
    </row>
    <row r="7">
      <c r="A7" t="s">
        <v>15</v>
      </c>
      <c r="B7">
        <f>MASSIVE.STOCKS.AGG_MINUTE("ABT","o")</f>
      </c>
      <c r="C7">
        <f>MASSIVE.STOCKS.AGG_MINUTE("ABT","h")</f>
      </c>
      <c r="D7">
        <f>MASSIVE.STOCKS.AGG_MINUTE("ABT","l")</f>
      </c>
      <c r="E7">
        <f>MASSIVE.STOCKS.AGG_MINUTE("ABT","c")</f>
      </c>
      <c r="F7">
        <f>MASSIVE.STOCKS.AGG_MINUTE("ABT","v")</f>
      </c>
      <c r="G7">
        <f>MASSIVE.STOCKS.AGG_MINUTE("ABT","a")</f>
      </c>
      <c r="H7">
        <f>MASSIVE.STOCKS.AGG_MINUTE("ABT","vw")</f>
      </c>
      <c r="I7">
        <f>MASSIVE.STOCKS.AGG_MINUTE("ABT","op")</f>
      </c>
      <c r="J7">
        <f>MASSIVE.STOCKS.AGG_MINUTE("ABT","av")</f>
      </c>
    </row>
    <row r="8">
      <c r="A8" t="s">
        <v>16</v>
      </c>
      <c r="B8">
        <f>MASSIVE.STOCKS.AGG_MINUTE("ACGL","o")</f>
      </c>
      <c r="C8">
        <f>MASSIVE.STOCKS.AGG_MINUTE("ACGL","h")</f>
      </c>
      <c r="D8">
        <f>MASSIVE.STOCKS.AGG_MINUTE("ACGL","l")</f>
      </c>
      <c r="E8">
        <f>MASSIVE.STOCKS.AGG_MINUTE("ACGL","c")</f>
      </c>
      <c r="F8">
        <f>MASSIVE.STOCKS.AGG_MINUTE("ACGL","v")</f>
      </c>
      <c r="G8">
        <f>MASSIVE.STOCKS.AGG_MINUTE("ACGL","a")</f>
      </c>
      <c r="H8">
        <f>MASSIVE.STOCKS.AGG_MINUTE("ACGL","vw")</f>
      </c>
      <c r="I8">
        <f>MASSIVE.STOCKS.AGG_MINUTE("ACGL","op")</f>
      </c>
      <c r="J8">
        <f>MASSIVE.STOCKS.AGG_MINUTE("ACGL","av")</f>
      </c>
    </row>
    <row r="9">
      <c r="A9" t="s">
        <v>17</v>
      </c>
      <c r="B9">
        <f>MASSIVE.STOCKS.AGG_MINUTE("ACN","o")</f>
      </c>
      <c r="C9">
        <f>MASSIVE.STOCKS.AGG_MINUTE("ACN","h")</f>
      </c>
      <c r="D9">
        <f>MASSIVE.STOCKS.AGG_MINUTE("ACN","l")</f>
      </c>
      <c r="E9">
        <f>MASSIVE.STOCKS.AGG_MINUTE("ACN","c")</f>
      </c>
      <c r="F9">
        <f>MASSIVE.STOCKS.AGG_MINUTE("ACN","v")</f>
      </c>
      <c r="G9">
        <f>MASSIVE.STOCKS.AGG_MINUTE("ACN","a")</f>
      </c>
      <c r="H9">
        <f>MASSIVE.STOCKS.AGG_MINUTE("ACN","vw")</f>
      </c>
      <c r="I9">
        <f>MASSIVE.STOCKS.AGG_MINUTE("ACN","op")</f>
      </c>
      <c r="J9">
        <f>MASSIVE.STOCKS.AGG_MINUTE("ACN","av")</f>
      </c>
    </row>
    <row r="10">
      <c r="A10" t="s">
        <v>18</v>
      </c>
      <c r="B10">
        <f>MASSIVE.STOCKS.AGG_MINUTE("ADBE","o")</f>
      </c>
      <c r="C10">
        <f>MASSIVE.STOCKS.AGG_MINUTE("ADBE","h")</f>
      </c>
      <c r="D10">
        <f>MASSIVE.STOCKS.AGG_MINUTE("ADBE","l")</f>
      </c>
      <c r="E10">
        <f>MASSIVE.STOCKS.AGG_MINUTE("ADBE","c")</f>
      </c>
      <c r="F10">
        <f>MASSIVE.STOCKS.AGG_MINUTE("ADBE","v")</f>
      </c>
      <c r="G10">
        <f>MASSIVE.STOCKS.AGG_MINUTE("ADBE","a")</f>
      </c>
      <c r="H10">
        <f>MASSIVE.STOCKS.AGG_MINUTE("ADBE","vw")</f>
      </c>
      <c r="I10">
        <f>MASSIVE.STOCKS.AGG_MINUTE("ADBE","op")</f>
      </c>
      <c r="J10">
        <f>MASSIVE.STOCKS.AGG_MINUTE("ADBE","av")</f>
      </c>
    </row>
    <row r="11">
      <c r="A11" t="s">
        <v>19</v>
      </c>
      <c r="B11">
        <f>MASSIVE.STOCKS.AGG_MINUTE("ADI","o")</f>
      </c>
      <c r="C11">
        <f>MASSIVE.STOCKS.AGG_MINUTE("ADI","h")</f>
      </c>
      <c r="D11">
        <f>MASSIVE.STOCKS.AGG_MINUTE("ADI","l")</f>
      </c>
      <c r="E11">
        <f>MASSIVE.STOCKS.AGG_MINUTE("ADI","c")</f>
      </c>
      <c r="F11">
        <f>MASSIVE.STOCKS.AGG_MINUTE("ADI","v")</f>
      </c>
      <c r="G11">
        <f>MASSIVE.STOCKS.AGG_MINUTE("ADI","a")</f>
      </c>
      <c r="H11">
        <f>MASSIVE.STOCKS.AGG_MINUTE("ADI","vw")</f>
      </c>
      <c r="I11">
        <f>MASSIVE.STOCKS.AGG_MINUTE("ADI","op")</f>
      </c>
      <c r="J11">
        <f>MASSIVE.STOCKS.AGG_MINUTE("ADI","av")</f>
      </c>
    </row>
    <row r="12">
      <c r="A12" t="s">
        <v>20</v>
      </c>
      <c r="B12">
        <f>MASSIVE.STOCKS.AGG_MINUTE("ADP","o")</f>
      </c>
      <c r="C12">
        <f>MASSIVE.STOCKS.AGG_MINUTE("ADP","h")</f>
      </c>
      <c r="D12">
        <f>MASSIVE.STOCKS.AGG_MINUTE("ADP","l")</f>
      </c>
      <c r="E12">
        <f>MASSIVE.STOCKS.AGG_MINUTE("ADP","c")</f>
      </c>
      <c r="F12">
        <f>MASSIVE.STOCKS.AGG_MINUTE("ADP","v")</f>
      </c>
      <c r="G12">
        <f>MASSIVE.STOCKS.AGG_MINUTE("ADP","a")</f>
      </c>
      <c r="H12">
        <f>MASSIVE.STOCKS.AGG_MINUTE("ADP","vw")</f>
      </c>
      <c r="I12">
        <f>MASSIVE.STOCKS.AGG_MINUTE("ADP","op")</f>
      </c>
      <c r="J12">
        <f>MASSIVE.STOCKS.AGG_MINUTE("ADP","av")</f>
      </c>
    </row>
    <row r="13">
      <c r="A13" t="s">
        <v>21</v>
      </c>
      <c r="B13">
        <f>MASSIVE.STOCKS.AGG_MINUTE("ADSK","o")</f>
      </c>
      <c r="C13">
        <f>MASSIVE.STOCKS.AGG_MINUTE("ADSK","h")</f>
      </c>
      <c r="D13">
        <f>MASSIVE.STOCKS.AGG_MINUTE("ADSK","l")</f>
      </c>
      <c r="E13">
        <f>MASSIVE.STOCKS.AGG_MINUTE("ADSK","c")</f>
      </c>
      <c r="F13">
        <f>MASSIVE.STOCKS.AGG_MINUTE("ADSK","v")</f>
      </c>
      <c r="G13">
        <f>MASSIVE.STOCKS.AGG_MINUTE("ADSK","a")</f>
      </c>
      <c r="H13">
        <f>MASSIVE.STOCKS.AGG_MINUTE("ADSK","vw")</f>
      </c>
      <c r="I13">
        <f>MASSIVE.STOCKS.AGG_MINUTE("ADSK","op")</f>
      </c>
      <c r="J13">
        <f>MASSIVE.STOCKS.AGG_MINUTE("ADSK","av")</f>
      </c>
    </row>
    <row r="14">
      <c r="A14" t="s">
        <v>22</v>
      </c>
      <c r="B14">
        <f>MASSIVE.STOCKS.AGG_MINUTE("AEP","o")</f>
      </c>
      <c r="C14">
        <f>MASSIVE.STOCKS.AGG_MINUTE("AEP","h")</f>
      </c>
      <c r="D14">
        <f>MASSIVE.STOCKS.AGG_MINUTE("AEP","l")</f>
      </c>
      <c r="E14">
        <f>MASSIVE.STOCKS.AGG_MINUTE("AEP","c")</f>
      </c>
      <c r="F14">
        <f>MASSIVE.STOCKS.AGG_MINUTE("AEP","v")</f>
      </c>
      <c r="G14">
        <f>MASSIVE.STOCKS.AGG_MINUTE("AEP","a")</f>
      </c>
      <c r="H14">
        <f>MASSIVE.STOCKS.AGG_MINUTE("AEP","vw")</f>
      </c>
      <c r="I14">
        <f>MASSIVE.STOCKS.AGG_MINUTE("AEP","op")</f>
      </c>
      <c r="J14">
        <f>MASSIVE.STOCKS.AGG_MINUTE("AEP","av")</f>
      </c>
    </row>
    <row r="15">
      <c r="A15" t="s">
        <v>23</v>
      </c>
      <c r="B15">
        <f>MASSIVE.STOCKS.AGG_MINUTE("AFL","o")</f>
      </c>
      <c r="C15">
        <f>MASSIVE.STOCKS.AGG_MINUTE("AFL","h")</f>
      </c>
      <c r="D15">
        <f>MASSIVE.STOCKS.AGG_MINUTE("AFL","l")</f>
      </c>
      <c r="E15">
        <f>MASSIVE.STOCKS.AGG_MINUTE("AFL","c")</f>
      </c>
      <c r="F15">
        <f>MASSIVE.STOCKS.AGG_MINUTE("AFL","v")</f>
      </c>
      <c r="G15">
        <f>MASSIVE.STOCKS.AGG_MINUTE("AFL","a")</f>
      </c>
      <c r="H15">
        <f>MASSIVE.STOCKS.AGG_MINUTE("AFL","vw")</f>
      </c>
      <c r="I15">
        <f>MASSIVE.STOCKS.AGG_MINUTE("AFL","op")</f>
      </c>
      <c r="J15">
        <f>MASSIVE.STOCKS.AGG_MINUTE("AFL","av")</f>
      </c>
    </row>
    <row r="16">
      <c r="A16" t="s">
        <v>24</v>
      </c>
      <c r="B16">
        <f>MASSIVE.STOCKS.AGG_MINUTE("AIG","o")</f>
      </c>
      <c r="C16">
        <f>MASSIVE.STOCKS.AGG_MINUTE("AIG","h")</f>
      </c>
      <c r="D16">
        <f>MASSIVE.STOCKS.AGG_MINUTE("AIG","l")</f>
      </c>
      <c r="E16">
        <f>MASSIVE.STOCKS.AGG_MINUTE("AIG","c")</f>
      </c>
      <c r="F16">
        <f>MASSIVE.STOCKS.AGG_MINUTE("AIG","v")</f>
      </c>
      <c r="G16">
        <f>MASSIVE.STOCKS.AGG_MINUTE("AIG","a")</f>
      </c>
      <c r="H16">
        <f>MASSIVE.STOCKS.AGG_MINUTE("AIG","vw")</f>
      </c>
      <c r="I16">
        <f>MASSIVE.STOCKS.AGG_MINUTE("AIG","op")</f>
      </c>
      <c r="J16">
        <f>MASSIVE.STOCKS.AGG_MINUTE("AIG","av")</f>
      </c>
    </row>
    <row r="17">
      <c r="A17" t="s">
        <v>25</v>
      </c>
      <c r="B17">
        <f>MASSIVE.STOCKS.AGG_MINUTE("AJG","o")</f>
      </c>
      <c r="C17">
        <f>MASSIVE.STOCKS.AGG_MINUTE("AJG","h")</f>
      </c>
      <c r="D17">
        <f>MASSIVE.STOCKS.AGG_MINUTE("AJG","l")</f>
      </c>
      <c r="E17">
        <f>MASSIVE.STOCKS.AGG_MINUTE("AJG","c")</f>
      </c>
      <c r="F17">
        <f>MASSIVE.STOCKS.AGG_MINUTE("AJG","v")</f>
      </c>
      <c r="G17">
        <f>MASSIVE.STOCKS.AGG_MINUTE("AJG","a")</f>
      </c>
      <c r="H17">
        <f>MASSIVE.STOCKS.AGG_MINUTE("AJG","vw")</f>
      </c>
      <c r="I17">
        <f>MASSIVE.STOCKS.AGG_MINUTE("AJG","op")</f>
      </c>
      <c r="J17">
        <f>MASSIVE.STOCKS.AGG_MINUTE("AJG","av")</f>
      </c>
    </row>
    <row r="18">
      <c r="A18" t="s">
        <v>26</v>
      </c>
      <c r="B18">
        <f>MASSIVE.STOCKS.AGG_MINUTE("AMD","o")</f>
      </c>
      <c r="C18">
        <f>MASSIVE.STOCKS.AGG_MINUTE("AMD","h")</f>
      </c>
      <c r="D18">
        <f>MASSIVE.STOCKS.AGG_MINUTE("AMD","l")</f>
      </c>
      <c r="E18">
        <f>MASSIVE.STOCKS.AGG_MINUTE("AMD","c")</f>
      </c>
      <c r="F18">
        <f>MASSIVE.STOCKS.AGG_MINUTE("AMD","v")</f>
      </c>
      <c r="G18">
        <f>MASSIVE.STOCKS.AGG_MINUTE("AMD","a")</f>
      </c>
      <c r="H18">
        <f>MASSIVE.STOCKS.AGG_MINUTE("AMD","vw")</f>
      </c>
      <c r="I18">
        <f>MASSIVE.STOCKS.AGG_MINUTE("AMD","op")</f>
      </c>
      <c r="J18">
        <f>MASSIVE.STOCKS.AGG_MINUTE("AMD","av")</f>
      </c>
    </row>
    <row r="19">
      <c r="A19" t="s">
        <v>27</v>
      </c>
      <c r="B19">
        <f>MASSIVE.STOCKS.AGG_MINUTE("AMGN","o")</f>
      </c>
      <c r="C19">
        <f>MASSIVE.STOCKS.AGG_MINUTE("AMGN","h")</f>
      </c>
      <c r="D19">
        <f>MASSIVE.STOCKS.AGG_MINUTE("AMGN","l")</f>
      </c>
      <c r="E19">
        <f>MASSIVE.STOCKS.AGG_MINUTE("AMGN","c")</f>
      </c>
      <c r="F19">
        <f>MASSIVE.STOCKS.AGG_MINUTE("AMGN","v")</f>
      </c>
      <c r="G19">
        <f>MASSIVE.STOCKS.AGG_MINUTE("AMGN","a")</f>
      </c>
      <c r="H19">
        <f>MASSIVE.STOCKS.AGG_MINUTE("AMGN","vw")</f>
      </c>
      <c r="I19">
        <f>MASSIVE.STOCKS.AGG_MINUTE("AMGN","op")</f>
      </c>
      <c r="J19">
        <f>MASSIVE.STOCKS.AGG_MINUTE("AMGN","av")</f>
      </c>
    </row>
    <row r="20">
      <c r="A20" t="s">
        <v>28</v>
      </c>
      <c r="B20">
        <f>MASSIVE.STOCKS.AGG_MINUTE("AMT","o")</f>
      </c>
      <c r="C20">
        <f>MASSIVE.STOCKS.AGG_MINUTE("AMT","h")</f>
      </c>
      <c r="D20">
        <f>MASSIVE.STOCKS.AGG_MINUTE("AMT","l")</f>
      </c>
      <c r="E20">
        <f>MASSIVE.STOCKS.AGG_MINUTE("AMT","c")</f>
      </c>
      <c r="F20">
        <f>MASSIVE.STOCKS.AGG_MINUTE("AMT","v")</f>
      </c>
      <c r="G20">
        <f>MASSIVE.STOCKS.AGG_MINUTE("AMT","a")</f>
      </c>
      <c r="H20">
        <f>MASSIVE.STOCKS.AGG_MINUTE("AMT","vw")</f>
      </c>
      <c r="I20">
        <f>MASSIVE.STOCKS.AGG_MINUTE("AMT","op")</f>
      </c>
      <c r="J20">
        <f>MASSIVE.STOCKS.AGG_MINUTE("AMT","av")</f>
      </c>
    </row>
    <row r="21">
      <c r="A21" t="s">
        <v>29</v>
      </c>
      <c r="B21">
        <f>MASSIVE.STOCKS.AGG_MINUTE("AMZN","o")</f>
      </c>
      <c r="C21">
        <f>MASSIVE.STOCKS.AGG_MINUTE("AMZN","h")</f>
      </c>
      <c r="D21">
        <f>MASSIVE.STOCKS.AGG_MINUTE("AMZN","l")</f>
      </c>
      <c r="E21">
        <f>MASSIVE.STOCKS.AGG_MINUTE("AMZN","c")</f>
      </c>
      <c r="F21">
        <f>MASSIVE.STOCKS.AGG_MINUTE("AMZN","v")</f>
      </c>
      <c r="G21">
        <f>MASSIVE.STOCKS.AGG_MINUTE("AMZN","a")</f>
      </c>
      <c r="H21">
        <f>MASSIVE.STOCKS.AGG_MINUTE("AMZN","vw")</f>
      </c>
      <c r="I21">
        <f>MASSIVE.STOCKS.AGG_MINUTE("AMZN","op")</f>
      </c>
      <c r="J21">
        <f>MASSIVE.STOCKS.AGG_MINUTE("AMZN","av")</f>
      </c>
    </row>
    <row r="22">
      <c r="A22" t="s">
        <v>30</v>
      </c>
      <c r="B22">
        <f>MASSIVE.STOCKS.AGG_MINUTE("ANET","o")</f>
      </c>
      <c r="C22">
        <f>MASSIVE.STOCKS.AGG_MINUTE("ANET","h")</f>
      </c>
      <c r="D22">
        <f>MASSIVE.STOCKS.AGG_MINUTE("ANET","l")</f>
      </c>
      <c r="E22">
        <f>MASSIVE.STOCKS.AGG_MINUTE("ANET","c")</f>
      </c>
      <c r="F22">
        <f>MASSIVE.STOCKS.AGG_MINUTE("ANET","v")</f>
      </c>
      <c r="G22">
        <f>MASSIVE.STOCKS.AGG_MINUTE("ANET","a")</f>
      </c>
      <c r="H22">
        <f>MASSIVE.STOCKS.AGG_MINUTE("ANET","vw")</f>
      </c>
      <c r="I22">
        <f>MASSIVE.STOCKS.AGG_MINUTE("ANET","op")</f>
      </c>
      <c r="J22">
        <f>MASSIVE.STOCKS.AGG_MINUTE("ANET","av")</f>
      </c>
    </row>
    <row r="23">
      <c r="A23" t="s">
        <v>31</v>
      </c>
      <c r="B23">
        <f>MASSIVE.STOCKS.AGG_MINUTE("AON","o")</f>
      </c>
      <c r="C23">
        <f>MASSIVE.STOCKS.AGG_MINUTE("AON","h")</f>
      </c>
      <c r="D23">
        <f>MASSIVE.STOCKS.AGG_MINUTE("AON","l")</f>
      </c>
      <c r="E23">
        <f>MASSIVE.STOCKS.AGG_MINUTE("AON","c")</f>
      </c>
      <c r="F23">
        <f>MASSIVE.STOCKS.AGG_MINUTE("AON","v")</f>
      </c>
      <c r="G23">
        <f>MASSIVE.STOCKS.AGG_MINUTE("AON","a")</f>
      </c>
      <c r="H23">
        <f>MASSIVE.STOCKS.AGG_MINUTE("AON","vw")</f>
      </c>
      <c r="I23">
        <f>MASSIVE.STOCKS.AGG_MINUTE("AON","op")</f>
      </c>
      <c r="J23">
        <f>MASSIVE.STOCKS.AGG_MINUTE("AON","av")</f>
      </c>
    </row>
    <row r="24">
      <c r="A24" t="s">
        <v>32</v>
      </c>
      <c r="B24">
        <f>MASSIVE.STOCKS.AGG_MINUTE("APH","o")</f>
      </c>
      <c r="C24">
        <f>MASSIVE.STOCKS.AGG_MINUTE("APH","h")</f>
      </c>
      <c r="D24">
        <f>MASSIVE.STOCKS.AGG_MINUTE("APH","l")</f>
      </c>
      <c r="E24">
        <f>MASSIVE.STOCKS.AGG_MINUTE("APH","c")</f>
      </c>
      <c r="F24">
        <f>MASSIVE.STOCKS.AGG_MINUTE("APH","v")</f>
      </c>
      <c r="G24">
        <f>MASSIVE.STOCKS.AGG_MINUTE("APH","a")</f>
      </c>
      <c r="H24">
        <f>MASSIVE.STOCKS.AGG_MINUTE("APH","vw")</f>
      </c>
      <c r="I24">
        <f>MASSIVE.STOCKS.AGG_MINUTE("APH","op")</f>
      </c>
      <c r="J24">
        <f>MASSIVE.STOCKS.AGG_MINUTE("APH","av")</f>
      </c>
    </row>
    <row r="25">
      <c r="A25" t="s">
        <v>33</v>
      </c>
      <c r="B25">
        <f>MASSIVE.STOCKS.AGG_MINUTE("ARM","o")</f>
      </c>
      <c r="C25">
        <f>MASSIVE.STOCKS.AGG_MINUTE("ARM","h")</f>
      </c>
      <c r="D25">
        <f>MASSIVE.STOCKS.AGG_MINUTE("ARM","l")</f>
      </c>
      <c r="E25">
        <f>MASSIVE.STOCKS.AGG_MINUTE("ARM","c")</f>
      </c>
      <c r="F25">
        <f>MASSIVE.STOCKS.AGG_MINUTE("ARM","v")</f>
      </c>
      <c r="G25">
        <f>MASSIVE.STOCKS.AGG_MINUTE("ARM","a")</f>
      </c>
      <c r="H25">
        <f>MASSIVE.STOCKS.AGG_MINUTE("ARM","vw")</f>
      </c>
      <c r="I25">
        <f>MASSIVE.STOCKS.AGG_MINUTE("ARM","op")</f>
      </c>
      <c r="J25">
        <f>MASSIVE.STOCKS.AGG_MINUTE("ARM","av")</f>
      </c>
    </row>
    <row r="26">
      <c r="A26" t="s">
        <v>34</v>
      </c>
      <c r="B26">
        <f>MASSIVE.STOCKS.AGG_MINUTE("AVGO","o")</f>
      </c>
      <c r="C26">
        <f>MASSIVE.STOCKS.AGG_MINUTE("AVGO","h")</f>
      </c>
      <c r="D26">
        <f>MASSIVE.STOCKS.AGG_MINUTE("AVGO","l")</f>
      </c>
      <c r="E26">
        <f>MASSIVE.STOCKS.AGG_MINUTE("AVGO","c")</f>
      </c>
      <c r="F26">
        <f>MASSIVE.STOCKS.AGG_MINUTE("AVGO","v")</f>
      </c>
      <c r="G26">
        <f>MASSIVE.STOCKS.AGG_MINUTE("AVGO","a")</f>
      </c>
      <c r="H26">
        <f>MASSIVE.STOCKS.AGG_MINUTE("AVGO","vw")</f>
      </c>
      <c r="I26">
        <f>MASSIVE.STOCKS.AGG_MINUTE("AVGO","op")</f>
      </c>
      <c r="J26">
        <f>MASSIVE.STOCKS.AGG_MINUTE("AVGO","av")</f>
      </c>
    </row>
    <row r="27">
      <c r="A27" t="s">
        <v>35</v>
      </c>
      <c r="B27">
        <f>MASSIVE.STOCKS.AGG_MINUTE("AZO","o")</f>
      </c>
      <c r="C27">
        <f>MASSIVE.STOCKS.AGG_MINUTE("AZO","h")</f>
      </c>
      <c r="D27">
        <f>MASSIVE.STOCKS.AGG_MINUTE("AZO","l")</f>
      </c>
      <c r="E27">
        <f>MASSIVE.STOCKS.AGG_MINUTE("AZO","c")</f>
      </c>
      <c r="F27">
        <f>MASSIVE.STOCKS.AGG_MINUTE("AZO","v")</f>
      </c>
      <c r="G27">
        <f>MASSIVE.STOCKS.AGG_MINUTE("AZO","a")</f>
      </c>
      <c r="H27">
        <f>MASSIVE.STOCKS.AGG_MINUTE("AZO","vw")</f>
      </c>
      <c r="I27">
        <f>MASSIVE.STOCKS.AGG_MINUTE("AZO","op")</f>
      </c>
      <c r="J27">
        <f>MASSIVE.STOCKS.AGG_MINUTE("AZO","av")</f>
      </c>
    </row>
    <row r="28">
      <c r="A28" t="s">
        <v>36</v>
      </c>
      <c r="B28">
        <f>MASSIVE.STOCKS.AGG_MINUTE("BA","o")</f>
      </c>
      <c r="C28">
        <f>MASSIVE.STOCKS.AGG_MINUTE("BA","h")</f>
      </c>
      <c r="D28">
        <f>MASSIVE.STOCKS.AGG_MINUTE("BA","l")</f>
      </c>
      <c r="E28">
        <f>MASSIVE.STOCKS.AGG_MINUTE("BA","c")</f>
      </c>
      <c r="F28">
        <f>MASSIVE.STOCKS.AGG_MINUTE("BA","v")</f>
      </c>
      <c r="G28">
        <f>MASSIVE.STOCKS.AGG_MINUTE("BA","a")</f>
      </c>
      <c r="H28">
        <f>MASSIVE.STOCKS.AGG_MINUTE("BA","vw")</f>
      </c>
      <c r="I28">
        <f>MASSIVE.STOCKS.AGG_MINUTE("BA","op")</f>
      </c>
      <c r="J28">
        <f>MASSIVE.STOCKS.AGG_MINUTE("BA","av")</f>
      </c>
    </row>
    <row r="29">
      <c r="A29" t="s">
        <v>37</v>
      </c>
      <c r="B29">
        <f>MASSIVE.STOCKS.AGG_MINUTE("BAC","o")</f>
      </c>
      <c r="C29">
        <f>MASSIVE.STOCKS.AGG_MINUTE("BAC","h")</f>
      </c>
      <c r="D29">
        <f>MASSIVE.STOCKS.AGG_MINUTE("BAC","l")</f>
      </c>
      <c r="E29">
        <f>MASSIVE.STOCKS.AGG_MINUTE("BAC","c")</f>
      </c>
      <c r="F29">
        <f>MASSIVE.STOCKS.AGG_MINUTE("BAC","v")</f>
      </c>
      <c r="G29">
        <f>MASSIVE.STOCKS.AGG_MINUTE("BAC","a")</f>
      </c>
      <c r="H29">
        <f>MASSIVE.STOCKS.AGG_MINUTE("BAC","vw")</f>
      </c>
      <c r="I29">
        <f>MASSIVE.STOCKS.AGG_MINUTE("BAC","op")</f>
      </c>
      <c r="J29">
        <f>MASSIVE.STOCKS.AGG_MINUTE("BAC","av")</f>
      </c>
    </row>
    <row r="30">
      <c r="A30" t="s">
        <v>38</v>
      </c>
      <c r="B30">
        <f>MASSIVE.STOCKS.AGG_MINUTE("BDX","o")</f>
      </c>
      <c r="C30">
        <f>MASSIVE.STOCKS.AGG_MINUTE("BDX","h")</f>
      </c>
      <c r="D30">
        <f>MASSIVE.STOCKS.AGG_MINUTE("BDX","l")</f>
      </c>
      <c r="E30">
        <f>MASSIVE.STOCKS.AGG_MINUTE("BDX","c")</f>
      </c>
      <c r="F30">
        <f>MASSIVE.STOCKS.AGG_MINUTE("BDX","v")</f>
      </c>
      <c r="G30">
        <f>MASSIVE.STOCKS.AGG_MINUTE("BDX","a")</f>
      </c>
      <c r="H30">
        <f>MASSIVE.STOCKS.AGG_MINUTE("BDX","vw")</f>
      </c>
      <c r="I30">
        <f>MASSIVE.STOCKS.AGG_MINUTE("BDX","op")</f>
      </c>
      <c r="J30">
        <f>MASSIVE.STOCKS.AGG_MINUTE("BDX","av")</f>
      </c>
    </row>
    <row r="31">
      <c r="A31" t="s">
        <v>39</v>
      </c>
      <c r="B31">
        <f>MASSIVE.STOCKS.AGG_MINUTE("BK","o")</f>
      </c>
      <c r="C31">
        <f>MASSIVE.STOCKS.AGG_MINUTE("BK","h")</f>
      </c>
      <c r="D31">
        <f>MASSIVE.STOCKS.AGG_MINUTE("BK","l")</f>
      </c>
      <c r="E31">
        <f>MASSIVE.STOCKS.AGG_MINUTE("BK","c")</f>
      </c>
      <c r="F31">
        <f>MASSIVE.STOCKS.AGG_MINUTE("BK","v")</f>
      </c>
      <c r="G31">
        <f>MASSIVE.STOCKS.AGG_MINUTE("BK","a")</f>
      </c>
      <c r="H31">
        <f>MASSIVE.STOCKS.AGG_MINUTE("BK","vw")</f>
      </c>
      <c r="I31">
        <f>MASSIVE.STOCKS.AGG_MINUTE("BK","op")</f>
      </c>
      <c r="J31">
        <f>MASSIVE.STOCKS.AGG_MINUTE("BK","av")</f>
      </c>
    </row>
    <row r="32">
      <c r="A32" t="s">
        <v>40</v>
      </c>
      <c r="B32">
        <f>MASSIVE.STOCKS.AGG_MINUTE("BKNG","o")</f>
      </c>
      <c r="C32">
        <f>MASSIVE.STOCKS.AGG_MINUTE("BKNG","h")</f>
      </c>
      <c r="D32">
        <f>MASSIVE.STOCKS.AGG_MINUTE("BKNG","l")</f>
      </c>
      <c r="E32">
        <f>MASSIVE.STOCKS.AGG_MINUTE("BKNG","c")</f>
      </c>
      <c r="F32">
        <f>MASSIVE.STOCKS.AGG_MINUTE("BKNG","v")</f>
      </c>
      <c r="G32">
        <f>MASSIVE.STOCKS.AGG_MINUTE("BKNG","a")</f>
      </c>
      <c r="H32">
        <f>MASSIVE.STOCKS.AGG_MINUTE("BKNG","vw")</f>
      </c>
      <c r="I32">
        <f>MASSIVE.STOCKS.AGG_MINUTE("BKNG","op")</f>
      </c>
      <c r="J32">
        <f>MASSIVE.STOCKS.AGG_MINUTE("BKNG","av")</f>
      </c>
    </row>
    <row r="33">
      <c r="A33" t="s">
        <v>41</v>
      </c>
      <c r="B33">
        <f>MASSIVE.STOCKS.AGG_MINUTE("BLK","o")</f>
      </c>
      <c r="C33">
        <f>MASSIVE.STOCKS.AGG_MINUTE("BLK","h")</f>
      </c>
      <c r="D33">
        <f>MASSIVE.STOCKS.AGG_MINUTE("BLK","l")</f>
      </c>
      <c r="E33">
        <f>MASSIVE.STOCKS.AGG_MINUTE("BLK","c")</f>
      </c>
      <c r="F33">
        <f>MASSIVE.STOCKS.AGG_MINUTE("BLK","v")</f>
      </c>
      <c r="G33">
        <f>MASSIVE.STOCKS.AGG_MINUTE("BLK","a")</f>
      </c>
      <c r="H33">
        <f>MASSIVE.STOCKS.AGG_MINUTE("BLK","vw")</f>
      </c>
      <c r="I33">
        <f>MASSIVE.STOCKS.AGG_MINUTE("BLK","op")</f>
      </c>
      <c r="J33">
        <f>MASSIVE.STOCKS.AGG_MINUTE("BLK","av")</f>
      </c>
    </row>
    <row r="34">
      <c r="A34" t="s">
        <v>42</v>
      </c>
      <c r="B34">
        <f>MASSIVE.STOCKS.AGG_MINUTE("BMY","o")</f>
      </c>
      <c r="C34">
        <f>MASSIVE.STOCKS.AGG_MINUTE("BMY","h")</f>
      </c>
      <c r="D34">
        <f>MASSIVE.STOCKS.AGG_MINUTE("BMY","l")</f>
      </c>
      <c r="E34">
        <f>MASSIVE.STOCKS.AGG_MINUTE("BMY","c")</f>
      </c>
      <c r="F34">
        <f>MASSIVE.STOCKS.AGG_MINUTE("BMY","v")</f>
      </c>
      <c r="G34">
        <f>MASSIVE.STOCKS.AGG_MINUTE("BMY","a")</f>
      </c>
      <c r="H34">
        <f>MASSIVE.STOCKS.AGG_MINUTE("BMY","vw")</f>
      </c>
      <c r="I34">
        <f>MASSIVE.STOCKS.AGG_MINUTE("BMY","op")</f>
      </c>
      <c r="J34">
        <f>MASSIVE.STOCKS.AGG_MINUTE("BMY","av")</f>
      </c>
    </row>
    <row r="35">
      <c r="A35" t="s">
        <v>43</v>
      </c>
      <c r="B35">
        <f>MASSIVE.STOCKS.AGG_MINUTE("CARR","o")</f>
      </c>
      <c r="C35">
        <f>MASSIVE.STOCKS.AGG_MINUTE("CARR","h")</f>
      </c>
      <c r="D35">
        <f>MASSIVE.STOCKS.AGG_MINUTE("CARR","l")</f>
      </c>
      <c r="E35">
        <f>MASSIVE.STOCKS.AGG_MINUTE("CARR","c")</f>
      </c>
      <c r="F35">
        <f>MASSIVE.STOCKS.AGG_MINUTE("CARR","v")</f>
      </c>
      <c r="G35">
        <f>MASSIVE.STOCKS.AGG_MINUTE("CARR","a")</f>
      </c>
      <c r="H35">
        <f>MASSIVE.STOCKS.AGG_MINUTE("CARR","vw")</f>
      </c>
      <c r="I35">
        <f>MASSIVE.STOCKS.AGG_MINUTE("CARR","op")</f>
      </c>
      <c r="J35">
        <f>MASSIVE.STOCKS.AGG_MINUTE("CARR","av")</f>
      </c>
    </row>
    <row r="36">
      <c r="A36" t="s">
        <v>44</v>
      </c>
      <c r="B36">
        <f>MASSIVE.STOCKS.AGG_MINUTE("CAT","o")</f>
      </c>
      <c r="C36">
        <f>MASSIVE.STOCKS.AGG_MINUTE("CAT","h")</f>
      </c>
      <c r="D36">
        <f>MASSIVE.STOCKS.AGG_MINUTE("CAT","l")</f>
      </c>
      <c r="E36">
        <f>MASSIVE.STOCKS.AGG_MINUTE("CAT","c")</f>
      </c>
      <c r="F36">
        <f>MASSIVE.STOCKS.AGG_MINUTE("CAT","v")</f>
      </c>
      <c r="G36">
        <f>MASSIVE.STOCKS.AGG_MINUTE("CAT","a")</f>
      </c>
      <c r="H36">
        <f>MASSIVE.STOCKS.AGG_MINUTE("CAT","vw")</f>
      </c>
      <c r="I36">
        <f>MASSIVE.STOCKS.AGG_MINUTE("CAT","op")</f>
      </c>
      <c r="J36">
        <f>MASSIVE.STOCKS.AGG_MINUTE("CAT","av")</f>
      </c>
    </row>
    <row r="37">
      <c r="A37" t="s">
        <v>45</v>
      </c>
      <c r="B37">
        <f>MASSIVE.STOCKS.AGG_MINUTE("CB","o")</f>
      </c>
      <c r="C37">
        <f>MASSIVE.STOCKS.AGG_MINUTE("CB","h")</f>
      </c>
      <c r="D37">
        <f>MASSIVE.STOCKS.AGG_MINUTE("CB","l")</f>
      </c>
      <c r="E37">
        <f>MASSIVE.STOCKS.AGG_MINUTE("CB","c")</f>
      </c>
      <c r="F37">
        <f>MASSIVE.STOCKS.AGG_MINUTE("CB","v")</f>
      </c>
      <c r="G37">
        <f>MASSIVE.STOCKS.AGG_MINUTE("CB","a")</f>
      </c>
      <c r="H37">
        <f>MASSIVE.STOCKS.AGG_MINUTE("CB","vw")</f>
      </c>
      <c r="I37">
        <f>MASSIVE.STOCKS.AGG_MINUTE("CB","op")</f>
      </c>
      <c r="J37">
        <f>MASSIVE.STOCKS.AGG_MINUTE("CB","av")</f>
      </c>
    </row>
    <row r="38">
      <c r="A38" t="s">
        <v>46</v>
      </c>
      <c r="B38">
        <f>MASSIVE.STOCKS.AGG_MINUTE("CCI","o")</f>
      </c>
      <c r="C38">
        <f>MASSIVE.STOCKS.AGG_MINUTE("CCI","h")</f>
      </c>
      <c r="D38">
        <f>MASSIVE.STOCKS.AGG_MINUTE("CCI","l")</f>
      </c>
      <c r="E38">
        <f>MASSIVE.STOCKS.AGG_MINUTE("CCI","c")</f>
      </c>
      <c r="F38">
        <f>MASSIVE.STOCKS.AGG_MINUTE("CCI","v")</f>
      </c>
      <c r="G38">
        <f>MASSIVE.STOCKS.AGG_MINUTE("CCI","a")</f>
      </c>
      <c r="H38">
        <f>MASSIVE.STOCKS.AGG_MINUTE("CCI","vw")</f>
      </c>
      <c r="I38">
        <f>MASSIVE.STOCKS.AGG_MINUTE("CCI","op")</f>
      </c>
      <c r="J38">
        <f>MASSIVE.STOCKS.AGG_MINUTE("CCI","av")</f>
      </c>
    </row>
    <row r="39">
      <c r="A39" t="s">
        <v>47</v>
      </c>
      <c r="B39">
        <f>MASSIVE.STOCKS.AGG_MINUTE("CDNS","o")</f>
      </c>
      <c r="C39">
        <f>MASSIVE.STOCKS.AGG_MINUTE("CDNS","h")</f>
      </c>
      <c r="D39">
        <f>MASSIVE.STOCKS.AGG_MINUTE("CDNS","l")</f>
      </c>
      <c r="E39">
        <f>MASSIVE.STOCKS.AGG_MINUTE("CDNS","c")</f>
      </c>
      <c r="F39">
        <f>MASSIVE.STOCKS.AGG_MINUTE("CDNS","v")</f>
      </c>
      <c r="G39">
        <f>MASSIVE.STOCKS.AGG_MINUTE("CDNS","a")</f>
      </c>
      <c r="H39">
        <f>MASSIVE.STOCKS.AGG_MINUTE("CDNS","vw")</f>
      </c>
      <c r="I39">
        <f>MASSIVE.STOCKS.AGG_MINUTE("CDNS","op")</f>
      </c>
      <c r="J39">
        <f>MASSIVE.STOCKS.AGG_MINUTE("CDNS","av")</f>
      </c>
    </row>
    <row r="40">
      <c r="A40" t="s">
        <v>48</v>
      </c>
      <c r="B40">
        <f>MASSIVE.STOCKS.AGG_MINUTE("CHTR","o")</f>
      </c>
      <c r="C40">
        <f>MASSIVE.STOCKS.AGG_MINUTE("CHTR","h")</f>
      </c>
      <c r="D40">
        <f>MASSIVE.STOCKS.AGG_MINUTE("CHTR","l")</f>
      </c>
      <c r="E40">
        <f>MASSIVE.STOCKS.AGG_MINUTE("CHTR","c")</f>
      </c>
      <c r="F40">
        <f>MASSIVE.STOCKS.AGG_MINUTE("CHTR","v")</f>
      </c>
      <c r="G40">
        <f>MASSIVE.STOCKS.AGG_MINUTE("CHTR","a")</f>
      </c>
      <c r="H40">
        <f>MASSIVE.STOCKS.AGG_MINUTE("CHTR","vw")</f>
      </c>
      <c r="I40">
        <f>MASSIVE.STOCKS.AGG_MINUTE("CHTR","op")</f>
      </c>
      <c r="J40">
        <f>MASSIVE.STOCKS.AGG_MINUTE("CHTR","av")</f>
      </c>
    </row>
    <row r="41">
      <c r="A41" t="s">
        <v>49</v>
      </c>
      <c r="B41">
        <f>MASSIVE.STOCKS.AGG_MINUTE("CI","o")</f>
      </c>
      <c r="C41">
        <f>MASSIVE.STOCKS.AGG_MINUTE("CI","h")</f>
      </c>
      <c r="D41">
        <f>MASSIVE.STOCKS.AGG_MINUTE("CI","l")</f>
      </c>
      <c r="E41">
        <f>MASSIVE.STOCKS.AGG_MINUTE("CI","c")</f>
      </c>
      <c r="F41">
        <f>MASSIVE.STOCKS.AGG_MINUTE("CI","v")</f>
      </c>
      <c r="G41">
        <f>MASSIVE.STOCKS.AGG_MINUTE("CI","a")</f>
      </c>
      <c r="H41">
        <f>MASSIVE.STOCKS.AGG_MINUTE("CI","vw")</f>
      </c>
      <c r="I41">
        <f>MASSIVE.STOCKS.AGG_MINUTE("CI","op")</f>
      </c>
      <c r="J41">
        <f>MASSIVE.STOCKS.AGG_MINUTE("CI","av")</f>
      </c>
    </row>
    <row r="42">
      <c r="A42" t="s">
        <v>50</v>
      </c>
      <c r="B42">
        <f>MASSIVE.STOCKS.AGG_MINUTE("CL","o")</f>
      </c>
      <c r="C42">
        <f>MASSIVE.STOCKS.AGG_MINUTE("CL","h")</f>
      </c>
      <c r="D42">
        <f>MASSIVE.STOCKS.AGG_MINUTE("CL","l")</f>
      </c>
      <c r="E42">
        <f>MASSIVE.STOCKS.AGG_MINUTE("CL","c")</f>
      </c>
      <c r="F42">
        <f>MASSIVE.STOCKS.AGG_MINUTE("CL","v")</f>
      </c>
      <c r="G42">
        <f>MASSIVE.STOCKS.AGG_MINUTE("CL","a")</f>
      </c>
      <c r="H42">
        <f>MASSIVE.STOCKS.AGG_MINUTE("CL","vw")</f>
      </c>
      <c r="I42">
        <f>MASSIVE.STOCKS.AGG_MINUTE("CL","op")</f>
      </c>
      <c r="J42">
        <f>MASSIVE.STOCKS.AGG_MINUTE("CL","av")</f>
      </c>
    </row>
    <row r="43">
      <c r="A43" t="s">
        <v>51</v>
      </c>
      <c r="B43">
        <f>MASSIVE.STOCKS.AGG_MINUTE("CME","o")</f>
      </c>
      <c r="C43">
        <f>MASSIVE.STOCKS.AGG_MINUTE("CME","h")</f>
      </c>
      <c r="D43">
        <f>MASSIVE.STOCKS.AGG_MINUTE("CME","l")</f>
      </c>
      <c r="E43">
        <f>MASSIVE.STOCKS.AGG_MINUTE("CME","c")</f>
      </c>
      <c r="F43">
        <f>MASSIVE.STOCKS.AGG_MINUTE("CME","v")</f>
      </c>
      <c r="G43">
        <f>MASSIVE.STOCKS.AGG_MINUTE("CME","a")</f>
      </c>
      <c r="H43">
        <f>MASSIVE.STOCKS.AGG_MINUTE("CME","vw")</f>
      </c>
      <c r="I43">
        <f>MASSIVE.STOCKS.AGG_MINUTE("CME","op")</f>
      </c>
      <c r="J43">
        <f>MASSIVE.STOCKS.AGG_MINUTE("CME","av")</f>
      </c>
    </row>
    <row r="44">
      <c r="A44" t="s">
        <v>52</v>
      </c>
      <c r="B44">
        <f>MASSIVE.STOCKS.AGG_MINUTE("CMG","o")</f>
      </c>
      <c r="C44">
        <f>MASSIVE.STOCKS.AGG_MINUTE("CMG","h")</f>
      </c>
      <c r="D44">
        <f>MASSIVE.STOCKS.AGG_MINUTE("CMG","l")</f>
      </c>
      <c r="E44">
        <f>MASSIVE.STOCKS.AGG_MINUTE("CMG","c")</f>
      </c>
      <c r="F44">
        <f>MASSIVE.STOCKS.AGG_MINUTE("CMG","v")</f>
      </c>
      <c r="G44">
        <f>MASSIVE.STOCKS.AGG_MINUTE("CMG","a")</f>
      </c>
      <c r="H44">
        <f>MASSIVE.STOCKS.AGG_MINUTE("CMG","vw")</f>
      </c>
      <c r="I44">
        <f>MASSIVE.STOCKS.AGG_MINUTE("CMG","op")</f>
      </c>
      <c r="J44">
        <f>MASSIVE.STOCKS.AGG_MINUTE("CMG","av")</f>
      </c>
    </row>
    <row r="45">
      <c r="A45" t="s">
        <v>53</v>
      </c>
      <c r="B45">
        <f>MASSIVE.STOCKS.AGG_MINUTE("COF","o")</f>
      </c>
      <c r="C45">
        <f>MASSIVE.STOCKS.AGG_MINUTE("COF","h")</f>
      </c>
      <c r="D45">
        <f>MASSIVE.STOCKS.AGG_MINUTE("COF","l")</f>
      </c>
      <c r="E45">
        <f>MASSIVE.STOCKS.AGG_MINUTE("COF","c")</f>
      </c>
      <c r="F45">
        <f>MASSIVE.STOCKS.AGG_MINUTE("COF","v")</f>
      </c>
      <c r="G45">
        <f>MASSIVE.STOCKS.AGG_MINUTE("COF","a")</f>
      </c>
      <c r="H45">
        <f>MASSIVE.STOCKS.AGG_MINUTE("COF","vw")</f>
      </c>
      <c r="I45">
        <f>MASSIVE.STOCKS.AGG_MINUTE("COF","op")</f>
      </c>
      <c r="J45">
        <f>MASSIVE.STOCKS.AGG_MINUTE("COF","av")</f>
      </c>
    </row>
    <row r="46">
      <c r="A46" t="s">
        <v>54</v>
      </c>
      <c r="B46">
        <f>MASSIVE.STOCKS.AGG_MINUTE("COIN","o")</f>
      </c>
      <c r="C46">
        <f>MASSIVE.STOCKS.AGG_MINUTE("COIN","h")</f>
      </c>
      <c r="D46">
        <f>MASSIVE.STOCKS.AGG_MINUTE("COIN","l")</f>
      </c>
      <c r="E46">
        <f>MASSIVE.STOCKS.AGG_MINUTE("COIN","c")</f>
      </c>
      <c r="F46">
        <f>MASSIVE.STOCKS.AGG_MINUTE("COIN","v")</f>
      </c>
      <c r="G46">
        <f>MASSIVE.STOCKS.AGG_MINUTE("COIN","a")</f>
      </c>
      <c r="H46">
        <f>MASSIVE.STOCKS.AGG_MINUTE("COIN","vw")</f>
      </c>
      <c r="I46">
        <f>MASSIVE.STOCKS.AGG_MINUTE("COIN","op")</f>
      </c>
      <c r="J46">
        <f>MASSIVE.STOCKS.AGG_MINUTE("COIN","av")</f>
      </c>
    </row>
    <row r="47">
      <c r="A47" t="s">
        <v>55</v>
      </c>
      <c r="B47">
        <f>MASSIVE.STOCKS.AGG_MINUTE("COST","o")</f>
      </c>
      <c r="C47">
        <f>MASSIVE.STOCKS.AGG_MINUTE("COST","h")</f>
      </c>
      <c r="D47">
        <f>MASSIVE.STOCKS.AGG_MINUTE("COST","l")</f>
      </c>
      <c r="E47">
        <f>MASSIVE.STOCKS.AGG_MINUTE("COST","c")</f>
      </c>
      <c r="F47">
        <f>MASSIVE.STOCKS.AGG_MINUTE("COST","v")</f>
      </c>
      <c r="G47">
        <f>MASSIVE.STOCKS.AGG_MINUTE("COST","a")</f>
      </c>
      <c r="H47">
        <f>MASSIVE.STOCKS.AGG_MINUTE("COST","vw")</f>
      </c>
      <c r="I47">
        <f>MASSIVE.STOCKS.AGG_MINUTE("COST","op")</f>
      </c>
      <c r="J47">
        <f>MASSIVE.STOCKS.AGG_MINUTE("COST","av")</f>
      </c>
    </row>
    <row r="48">
      <c r="A48" t="s">
        <v>56</v>
      </c>
      <c r="B48">
        <f>MASSIVE.STOCKS.AGG_MINUTE("CPRT","o")</f>
      </c>
      <c r="C48">
        <f>MASSIVE.STOCKS.AGG_MINUTE("CPRT","h")</f>
      </c>
      <c r="D48">
        <f>MASSIVE.STOCKS.AGG_MINUTE("CPRT","l")</f>
      </c>
      <c r="E48">
        <f>MASSIVE.STOCKS.AGG_MINUTE("CPRT","c")</f>
      </c>
      <c r="F48">
        <f>MASSIVE.STOCKS.AGG_MINUTE("CPRT","v")</f>
      </c>
      <c r="G48">
        <f>MASSIVE.STOCKS.AGG_MINUTE("CPRT","a")</f>
      </c>
      <c r="H48">
        <f>MASSIVE.STOCKS.AGG_MINUTE("CPRT","vw")</f>
      </c>
      <c r="I48">
        <f>MASSIVE.STOCKS.AGG_MINUTE("CPRT","op")</f>
      </c>
      <c r="J48">
        <f>MASSIVE.STOCKS.AGG_MINUTE("CPRT","av")</f>
      </c>
    </row>
    <row r="49">
      <c r="A49" t="s">
        <v>57</v>
      </c>
      <c r="B49">
        <f>MASSIVE.STOCKS.AGG_MINUTE("CRM","o")</f>
      </c>
      <c r="C49">
        <f>MASSIVE.STOCKS.AGG_MINUTE("CRM","h")</f>
      </c>
      <c r="D49">
        <f>MASSIVE.STOCKS.AGG_MINUTE("CRM","l")</f>
      </c>
      <c r="E49">
        <f>MASSIVE.STOCKS.AGG_MINUTE("CRM","c")</f>
      </c>
      <c r="F49">
        <f>MASSIVE.STOCKS.AGG_MINUTE("CRM","v")</f>
      </c>
      <c r="G49">
        <f>MASSIVE.STOCKS.AGG_MINUTE("CRM","a")</f>
      </c>
      <c r="H49">
        <f>MASSIVE.STOCKS.AGG_MINUTE("CRM","vw")</f>
      </c>
      <c r="I49">
        <f>MASSIVE.STOCKS.AGG_MINUTE("CRM","op")</f>
      </c>
      <c r="J49">
        <f>MASSIVE.STOCKS.AGG_MINUTE("CRM","av")</f>
      </c>
    </row>
    <row r="50">
      <c r="A50" t="s">
        <v>58</v>
      </c>
      <c r="B50">
        <f>MASSIVE.STOCKS.AGG_MINUTE("CRWD","o")</f>
      </c>
      <c r="C50">
        <f>MASSIVE.STOCKS.AGG_MINUTE("CRWD","h")</f>
      </c>
      <c r="D50">
        <f>MASSIVE.STOCKS.AGG_MINUTE("CRWD","l")</f>
      </c>
      <c r="E50">
        <f>MASSIVE.STOCKS.AGG_MINUTE("CRWD","c")</f>
      </c>
      <c r="F50">
        <f>MASSIVE.STOCKS.AGG_MINUTE("CRWD","v")</f>
      </c>
      <c r="G50">
        <f>MASSIVE.STOCKS.AGG_MINUTE("CRWD","a")</f>
      </c>
      <c r="H50">
        <f>MASSIVE.STOCKS.AGG_MINUTE("CRWD","vw")</f>
      </c>
      <c r="I50">
        <f>MASSIVE.STOCKS.AGG_MINUTE("CRWD","op")</f>
      </c>
      <c r="J50">
        <f>MASSIVE.STOCKS.AGG_MINUTE("CRWD","av")</f>
      </c>
    </row>
    <row r="51">
      <c r="A51" t="s">
        <v>59</v>
      </c>
      <c r="B51">
        <f>MASSIVE.STOCKS.AGG_MINUTE("CSCO","o")</f>
      </c>
      <c r="C51">
        <f>MASSIVE.STOCKS.AGG_MINUTE("CSCO","h")</f>
      </c>
      <c r="D51">
        <f>MASSIVE.STOCKS.AGG_MINUTE("CSCO","l")</f>
      </c>
      <c r="E51">
        <f>MASSIVE.STOCKS.AGG_MINUTE("CSCO","c")</f>
      </c>
      <c r="F51">
        <f>MASSIVE.STOCKS.AGG_MINUTE("CSCO","v")</f>
      </c>
      <c r="G51">
        <f>MASSIVE.STOCKS.AGG_MINUTE("CSCO","a")</f>
      </c>
      <c r="H51">
        <f>MASSIVE.STOCKS.AGG_MINUTE("CSCO","vw")</f>
      </c>
      <c r="I51">
        <f>MASSIVE.STOCKS.AGG_MINUTE("CSCO","op")</f>
      </c>
      <c r="J51">
        <f>MASSIVE.STOCKS.AGG_MINUTE("CSCO","av")</f>
      </c>
    </row>
    <row r="52">
      <c r="A52" t="s">
        <v>60</v>
      </c>
      <c r="B52">
        <f>MASSIVE.STOCKS.AGG_MINUTE("CSX","o")</f>
      </c>
      <c r="C52">
        <f>MASSIVE.STOCKS.AGG_MINUTE("CSX","h")</f>
      </c>
      <c r="D52">
        <f>MASSIVE.STOCKS.AGG_MINUTE("CSX","l")</f>
      </c>
      <c r="E52">
        <f>MASSIVE.STOCKS.AGG_MINUTE("CSX","c")</f>
      </c>
      <c r="F52">
        <f>MASSIVE.STOCKS.AGG_MINUTE("CSX","v")</f>
      </c>
      <c r="G52">
        <f>MASSIVE.STOCKS.AGG_MINUTE("CSX","a")</f>
      </c>
      <c r="H52">
        <f>MASSIVE.STOCKS.AGG_MINUTE("CSX","vw")</f>
      </c>
      <c r="I52">
        <f>MASSIVE.STOCKS.AGG_MINUTE("CSX","op")</f>
      </c>
      <c r="J52">
        <f>MASSIVE.STOCKS.AGG_MINUTE("CSX","av")</f>
      </c>
    </row>
    <row r="53">
      <c r="A53" t="s">
        <v>61</v>
      </c>
      <c r="B53">
        <f>MASSIVE.STOCKS.AGG_MINUTE("CTAS","o")</f>
      </c>
      <c r="C53">
        <f>MASSIVE.STOCKS.AGG_MINUTE("CTAS","h")</f>
      </c>
      <c r="D53">
        <f>MASSIVE.STOCKS.AGG_MINUTE("CTAS","l")</f>
      </c>
      <c r="E53">
        <f>MASSIVE.STOCKS.AGG_MINUTE("CTAS","c")</f>
      </c>
      <c r="F53">
        <f>MASSIVE.STOCKS.AGG_MINUTE("CTAS","v")</f>
      </c>
      <c r="G53">
        <f>MASSIVE.STOCKS.AGG_MINUTE("CTAS","a")</f>
      </c>
      <c r="H53">
        <f>MASSIVE.STOCKS.AGG_MINUTE("CTAS","vw")</f>
      </c>
      <c r="I53">
        <f>MASSIVE.STOCKS.AGG_MINUTE("CTAS","op")</f>
      </c>
      <c r="J53">
        <f>MASSIVE.STOCKS.AGG_MINUTE("CTAS","av")</f>
      </c>
    </row>
    <row r="54">
      <c r="A54" t="s">
        <v>62</v>
      </c>
      <c r="B54">
        <f>MASSIVE.STOCKS.AGG_MINUTE("CTVA","o")</f>
      </c>
      <c r="C54">
        <f>MASSIVE.STOCKS.AGG_MINUTE("CTVA","h")</f>
      </c>
      <c r="D54">
        <f>MASSIVE.STOCKS.AGG_MINUTE("CTVA","l")</f>
      </c>
      <c r="E54">
        <f>MASSIVE.STOCKS.AGG_MINUTE("CTVA","c")</f>
      </c>
      <c r="F54">
        <f>MASSIVE.STOCKS.AGG_MINUTE("CTVA","v")</f>
      </c>
      <c r="G54">
        <f>MASSIVE.STOCKS.AGG_MINUTE("CTVA","a")</f>
      </c>
      <c r="H54">
        <f>MASSIVE.STOCKS.AGG_MINUTE("CTVA","vw")</f>
      </c>
      <c r="I54">
        <f>MASSIVE.STOCKS.AGG_MINUTE("CTVA","op")</f>
      </c>
      <c r="J54">
        <f>MASSIVE.STOCKS.AGG_MINUTE("CTVA","av")</f>
      </c>
    </row>
    <row r="55">
      <c r="A55" t="s">
        <v>63</v>
      </c>
      <c r="B55">
        <f>MASSIVE.STOCKS.AGG_MINUTE("CVX","o")</f>
      </c>
      <c r="C55">
        <f>MASSIVE.STOCKS.AGG_MINUTE("CVX","h")</f>
      </c>
      <c r="D55">
        <f>MASSIVE.STOCKS.AGG_MINUTE("CVX","l")</f>
      </c>
      <c r="E55">
        <f>MASSIVE.STOCKS.AGG_MINUTE("CVX","c")</f>
      </c>
      <c r="F55">
        <f>MASSIVE.STOCKS.AGG_MINUTE("CVX","v")</f>
      </c>
      <c r="G55">
        <f>MASSIVE.STOCKS.AGG_MINUTE("CVX","a")</f>
      </c>
      <c r="H55">
        <f>MASSIVE.STOCKS.AGG_MINUTE("CVX","vw")</f>
      </c>
      <c r="I55">
        <f>MASSIVE.STOCKS.AGG_MINUTE("CVX","op")</f>
      </c>
      <c r="J55">
        <f>MASSIVE.STOCKS.AGG_MINUTE("CVX","av")</f>
      </c>
    </row>
    <row r="56">
      <c r="A56" t="s">
        <v>64</v>
      </c>
      <c r="B56">
        <f>MASSIVE.STOCKS.AGG_MINUTE("D","o")</f>
      </c>
      <c r="C56">
        <f>MASSIVE.STOCKS.AGG_MINUTE("D","h")</f>
      </c>
      <c r="D56">
        <f>MASSIVE.STOCKS.AGG_MINUTE("D","l")</f>
      </c>
      <c r="E56">
        <f>MASSIVE.STOCKS.AGG_MINUTE("D","c")</f>
      </c>
      <c r="F56">
        <f>MASSIVE.STOCKS.AGG_MINUTE("D","v")</f>
      </c>
      <c r="G56">
        <f>MASSIVE.STOCKS.AGG_MINUTE("D","a")</f>
      </c>
      <c r="H56">
        <f>MASSIVE.STOCKS.AGG_MINUTE("D","vw")</f>
      </c>
      <c r="I56">
        <f>MASSIVE.STOCKS.AGG_MINUTE("D","op")</f>
      </c>
      <c r="J56">
        <f>MASSIVE.STOCKS.AGG_MINUTE("D","av")</f>
      </c>
    </row>
    <row r="57">
      <c r="A57" t="s">
        <v>65</v>
      </c>
      <c r="B57">
        <f>MASSIVE.STOCKS.AGG_MINUTE("DAL","o")</f>
      </c>
      <c r="C57">
        <f>MASSIVE.STOCKS.AGG_MINUTE("DAL","h")</f>
      </c>
      <c r="D57">
        <f>MASSIVE.STOCKS.AGG_MINUTE("DAL","l")</f>
      </c>
      <c r="E57">
        <f>MASSIVE.STOCKS.AGG_MINUTE("DAL","c")</f>
      </c>
      <c r="F57">
        <f>MASSIVE.STOCKS.AGG_MINUTE("DAL","v")</f>
      </c>
      <c r="G57">
        <f>MASSIVE.STOCKS.AGG_MINUTE("DAL","a")</f>
      </c>
      <c r="H57">
        <f>MASSIVE.STOCKS.AGG_MINUTE("DAL","vw")</f>
      </c>
      <c r="I57">
        <f>MASSIVE.STOCKS.AGG_MINUTE("DAL","op")</f>
      </c>
      <c r="J57">
        <f>MASSIVE.STOCKS.AGG_MINUTE("DAL","av")</f>
      </c>
    </row>
    <row r="58">
      <c r="A58" t="s">
        <v>66</v>
      </c>
      <c r="B58">
        <f>MASSIVE.STOCKS.AGG_MINUTE("DDOG","o")</f>
      </c>
      <c r="C58">
        <f>MASSIVE.STOCKS.AGG_MINUTE("DDOG","h")</f>
      </c>
      <c r="D58">
        <f>MASSIVE.STOCKS.AGG_MINUTE("DDOG","l")</f>
      </c>
      <c r="E58">
        <f>MASSIVE.STOCKS.AGG_MINUTE("DDOG","c")</f>
      </c>
      <c r="F58">
        <f>MASSIVE.STOCKS.AGG_MINUTE("DDOG","v")</f>
      </c>
      <c r="G58">
        <f>MASSIVE.STOCKS.AGG_MINUTE("DDOG","a")</f>
      </c>
      <c r="H58">
        <f>MASSIVE.STOCKS.AGG_MINUTE("DDOG","vw")</f>
      </c>
      <c r="I58">
        <f>MASSIVE.STOCKS.AGG_MINUTE("DDOG","op")</f>
      </c>
      <c r="J58">
        <f>MASSIVE.STOCKS.AGG_MINUTE("DDOG","av")</f>
      </c>
    </row>
    <row r="59">
      <c r="A59" t="s">
        <v>67</v>
      </c>
      <c r="B59">
        <f>MASSIVE.STOCKS.AGG_MINUTE("DE","o")</f>
      </c>
      <c r="C59">
        <f>MASSIVE.STOCKS.AGG_MINUTE("DE","h")</f>
      </c>
      <c r="D59">
        <f>MASSIVE.STOCKS.AGG_MINUTE("DE","l")</f>
      </c>
      <c r="E59">
        <f>MASSIVE.STOCKS.AGG_MINUTE("DE","c")</f>
      </c>
      <c r="F59">
        <f>MASSIVE.STOCKS.AGG_MINUTE("DE","v")</f>
      </c>
      <c r="G59">
        <f>MASSIVE.STOCKS.AGG_MINUTE("DE","a")</f>
      </c>
      <c r="H59">
        <f>MASSIVE.STOCKS.AGG_MINUTE("DE","vw")</f>
      </c>
      <c r="I59">
        <f>MASSIVE.STOCKS.AGG_MINUTE("DE","op")</f>
      </c>
      <c r="J59">
        <f>MASSIVE.STOCKS.AGG_MINUTE("DE","av")</f>
      </c>
    </row>
    <row r="60">
      <c r="A60" t="s">
        <v>68</v>
      </c>
      <c r="B60">
        <f>MASSIVE.STOCKS.AGG_MINUTE("DELL","o")</f>
      </c>
      <c r="C60">
        <f>MASSIVE.STOCKS.AGG_MINUTE("DELL","h")</f>
      </c>
      <c r="D60">
        <f>MASSIVE.STOCKS.AGG_MINUTE("DELL","l")</f>
      </c>
      <c r="E60">
        <f>MASSIVE.STOCKS.AGG_MINUTE("DELL","c")</f>
      </c>
      <c r="F60">
        <f>MASSIVE.STOCKS.AGG_MINUTE("DELL","v")</f>
      </c>
      <c r="G60">
        <f>MASSIVE.STOCKS.AGG_MINUTE("DELL","a")</f>
      </c>
      <c r="H60">
        <f>MASSIVE.STOCKS.AGG_MINUTE("DELL","vw")</f>
      </c>
      <c r="I60">
        <f>MASSIVE.STOCKS.AGG_MINUTE("DELL","op")</f>
      </c>
      <c r="J60">
        <f>MASSIVE.STOCKS.AGG_MINUTE("DELL","av")</f>
      </c>
    </row>
    <row r="61">
      <c r="A61" t="s">
        <v>69</v>
      </c>
      <c r="B61">
        <f>MASSIVE.STOCKS.AGG_MINUTE("DHI","o")</f>
      </c>
      <c r="C61">
        <f>MASSIVE.STOCKS.AGG_MINUTE("DHI","h")</f>
      </c>
      <c r="D61">
        <f>MASSIVE.STOCKS.AGG_MINUTE("DHI","l")</f>
      </c>
      <c r="E61">
        <f>MASSIVE.STOCKS.AGG_MINUTE("DHI","c")</f>
      </c>
      <c r="F61">
        <f>MASSIVE.STOCKS.AGG_MINUTE("DHI","v")</f>
      </c>
      <c r="G61">
        <f>MASSIVE.STOCKS.AGG_MINUTE("DHI","a")</f>
      </c>
      <c r="H61">
        <f>MASSIVE.STOCKS.AGG_MINUTE("DHI","vw")</f>
      </c>
      <c r="I61">
        <f>MASSIVE.STOCKS.AGG_MINUTE("DHI","op")</f>
      </c>
      <c r="J61">
        <f>MASSIVE.STOCKS.AGG_MINUTE("DHI","av")</f>
      </c>
    </row>
    <row r="62">
      <c r="A62" t="s">
        <v>70</v>
      </c>
      <c r="B62">
        <f>MASSIVE.STOCKS.AGG_MINUTE("DHR","o")</f>
      </c>
      <c r="C62">
        <f>MASSIVE.STOCKS.AGG_MINUTE("DHR","h")</f>
      </c>
      <c r="D62">
        <f>MASSIVE.STOCKS.AGG_MINUTE("DHR","l")</f>
      </c>
      <c r="E62">
        <f>MASSIVE.STOCKS.AGG_MINUTE("DHR","c")</f>
      </c>
      <c r="F62">
        <f>MASSIVE.STOCKS.AGG_MINUTE("DHR","v")</f>
      </c>
      <c r="G62">
        <f>MASSIVE.STOCKS.AGG_MINUTE("DHR","a")</f>
      </c>
      <c r="H62">
        <f>MASSIVE.STOCKS.AGG_MINUTE("DHR","vw")</f>
      </c>
      <c r="I62">
        <f>MASSIVE.STOCKS.AGG_MINUTE("DHR","op")</f>
      </c>
      <c r="J62">
        <f>MASSIVE.STOCKS.AGG_MINUTE("DHR","av")</f>
      </c>
    </row>
    <row r="63">
      <c r="A63" t="s">
        <v>71</v>
      </c>
      <c r="B63">
        <f>MASSIVE.STOCKS.AGG_MINUTE("DLR","o")</f>
      </c>
      <c r="C63">
        <f>MASSIVE.STOCKS.AGG_MINUTE("DLR","h")</f>
      </c>
      <c r="D63">
        <f>MASSIVE.STOCKS.AGG_MINUTE("DLR","l")</f>
      </c>
      <c r="E63">
        <f>MASSIVE.STOCKS.AGG_MINUTE("DLR","c")</f>
      </c>
      <c r="F63">
        <f>MASSIVE.STOCKS.AGG_MINUTE("DLR","v")</f>
      </c>
      <c r="G63">
        <f>MASSIVE.STOCKS.AGG_MINUTE("DLR","a")</f>
      </c>
      <c r="H63">
        <f>MASSIVE.STOCKS.AGG_MINUTE("DLR","vw")</f>
      </c>
      <c r="I63">
        <f>MASSIVE.STOCKS.AGG_MINUTE("DLR","op")</f>
      </c>
      <c r="J63">
        <f>MASSIVE.STOCKS.AGG_MINUTE("DLR","av")</f>
      </c>
    </row>
    <row r="64">
      <c r="A64" t="s">
        <v>72</v>
      </c>
      <c r="B64">
        <f>MASSIVE.STOCKS.AGG_MINUTE("DUK","o")</f>
      </c>
      <c r="C64">
        <f>MASSIVE.STOCKS.AGG_MINUTE("DUK","h")</f>
      </c>
      <c r="D64">
        <f>MASSIVE.STOCKS.AGG_MINUTE("DUK","l")</f>
      </c>
      <c r="E64">
        <f>MASSIVE.STOCKS.AGG_MINUTE("DUK","c")</f>
      </c>
      <c r="F64">
        <f>MASSIVE.STOCKS.AGG_MINUTE("DUK","v")</f>
      </c>
      <c r="G64">
        <f>MASSIVE.STOCKS.AGG_MINUTE("DUK","a")</f>
      </c>
      <c r="H64">
        <f>MASSIVE.STOCKS.AGG_MINUTE("DUK","vw")</f>
      </c>
      <c r="I64">
        <f>MASSIVE.STOCKS.AGG_MINUTE("DUK","op")</f>
      </c>
      <c r="J64">
        <f>MASSIVE.STOCKS.AGG_MINUTE("DUK","av")</f>
      </c>
    </row>
    <row r="65">
      <c r="A65" t="s">
        <v>73</v>
      </c>
      <c r="B65">
        <f>MASSIVE.STOCKS.AGG_MINUTE("DXCM","o")</f>
      </c>
      <c r="C65">
        <f>MASSIVE.STOCKS.AGG_MINUTE("DXCM","h")</f>
      </c>
      <c r="D65">
        <f>MASSIVE.STOCKS.AGG_MINUTE("DXCM","l")</f>
      </c>
      <c r="E65">
        <f>MASSIVE.STOCKS.AGG_MINUTE("DXCM","c")</f>
      </c>
      <c r="F65">
        <f>MASSIVE.STOCKS.AGG_MINUTE("DXCM","v")</f>
      </c>
      <c r="G65">
        <f>MASSIVE.STOCKS.AGG_MINUTE("DXCM","a")</f>
      </c>
      <c r="H65">
        <f>MASSIVE.STOCKS.AGG_MINUTE("DXCM","vw")</f>
      </c>
      <c r="I65">
        <f>MASSIVE.STOCKS.AGG_MINUTE("DXCM","op")</f>
      </c>
      <c r="J65">
        <f>MASSIVE.STOCKS.AGG_MINUTE("DXCM","av")</f>
      </c>
    </row>
    <row r="66">
      <c r="A66" t="s">
        <v>74</v>
      </c>
      <c r="B66">
        <f>MASSIVE.STOCKS.AGG_MINUTE("ECL","o")</f>
      </c>
      <c r="C66">
        <f>MASSIVE.STOCKS.AGG_MINUTE("ECL","h")</f>
      </c>
      <c r="D66">
        <f>MASSIVE.STOCKS.AGG_MINUTE("ECL","l")</f>
      </c>
      <c r="E66">
        <f>MASSIVE.STOCKS.AGG_MINUTE("ECL","c")</f>
      </c>
      <c r="F66">
        <f>MASSIVE.STOCKS.AGG_MINUTE("ECL","v")</f>
      </c>
      <c r="G66">
        <f>MASSIVE.STOCKS.AGG_MINUTE("ECL","a")</f>
      </c>
      <c r="H66">
        <f>MASSIVE.STOCKS.AGG_MINUTE("ECL","vw")</f>
      </c>
      <c r="I66">
        <f>MASSIVE.STOCKS.AGG_MINUTE("ECL","op")</f>
      </c>
      <c r="J66">
        <f>MASSIVE.STOCKS.AGG_MINUTE("ECL","av")</f>
      </c>
    </row>
    <row r="67">
      <c r="A67" t="s">
        <v>75</v>
      </c>
      <c r="B67">
        <f>MASSIVE.STOCKS.AGG_MINUTE("EMR","o")</f>
      </c>
      <c r="C67">
        <f>MASSIVE.STOCKS.AGG_MINUTE("EMR","h")</f>
      </c>
      <c r="D67">
        <f>MASSIVE.STOCKS.AGG_MINUTE("EMR","l")</f>
      </c>
      <c r="E67">
        <f>MASSIVE.STOCKS.AGG_MINUTE("EMR","c")</f>
      </c>
      <c r="F67">
        <f>MASSIVE.STOCKS.AGG_MINUTE("EMR","v")</f>
      </c>
      <c r="G67">
        <f>MASSIVE.STOCKS.AGG_MINUTE("EMR","a")</f>
      </c>
      <c r="H67">
        <f>MASSIVE.STOCKS.AGG_MINUTE("EMR","vw")</f>
      </c>
      <c r="I67">
        <f>MASSIVE.STOCKS.AGG_MINUTE("EMR","op")</f>
      </c>
      <c r="J67">
        <f>MASSIVE.STOCKS.AGG_MINUTE("EMR","av")</f>
      </c>
    </row>
    <row r="68">
      <c r="A68" t="s">
        <v>76</v>
      </c>
      <c r="B68">
        <f>MASSIVE.STOCKS.AGG_MINUTE("EQIX","o")</f>
      </c>
      <c r="C68">
        <f>MASSIVE.STOCKS.AGG_MINUTE("EQIX","h")</f>
      </c>
      <c r="D68">
        <f>MASSIVE.STOCKS.AGG_MINUTE("EQIX","l")</f>
      </c>
      <c r="E68">
        <f>MASSIVE.STOCKS.AGG_MINUTE("EQIX","c")</f>
      </c>
      <c r="F68">
        <f>MASSIVE.STOCKS.AGG_MINUTE("EQIX","v")</f>
      </c>
      <c r="G68">
        <f>MASSIVE.STOCKS.AGG_MINUTE("EQIX","a")</f>
      </c>
      <c r="H68">
        <f>MASSIVE.STOCKS.AGG_MINUTE("EQIX","vw")</f>
      </c>
      <c r="I68">
        <f>MASSIVE.STOCKS.AGG_MINUTE("EQIX","op")</f>
      </c>
      <c r="J68">
        <f>MASSIVE.STOCKS.AGG_MINUTE("EQIX","av")</f>
      </c>
    </row>
    <row r="69">
      <c r="A69" t="s">
        <v>77</v>
      </c>
      <c r="B69">
        <f>MASSIVE.STOCKS.AGG_MINUTE("ETN","o")</f>
      </c>
      <c r="C69">
        <f>MASSIVE.STOCKS.AGG_MINUTE("ETN","h")</f>
      </c>
      <c r="D69">
        <f>MASSIVE.STOCKS.AGG_MINUTE("ETN","l")</f>
      </c>
      <c r="E69">
        <f>MASSIVE.STOCKS.AGG_MINUTE("ETN","c")</f>
      </c>
      <c r="F69">
        <f>MASSIVE.STOCKS.AGG_MINUTE("ETN","v")</f>
      </c>
      <c r="G69">
        <f>MASSIVE.STOCKS.AGG_MINUTE("ETN","a")</f>
      </c>
      <c r="H69">
        <f>MASSIVE.STOCKS.AGG_MINUTE("ETN","vw")</f>
      </c>
      <c r="I69">
        <f>MASSIVE.STOCKS.AGG_MINUTE("ETN","op")</f>
      </c>
      <c r="J69">
        <f>MASSIVE.STOCKS.AGG_MINUTE("ETN","av")</f>
      </c>
    </row>
    <row r="70">
      <c r="A70" t="s">
        <v>78</v>
      </c>
      <c r="B70">
        <f>MASSIVE.STOCKS.AGG_MINUTE("EW","o")</f>
      </c>
      <c r="C70">
        <f>MASSIVE.STOCKS.AGG_MINUTE("EW","h")</f>
      </c>
      <c r="D70">
        <f>MASSIVE.STOCKS.AGG_MINUTE("EW","l")</f>
      </c>
      <c r="E70">
        <f>MASSIVE.STOCKS.AGG_MINUTE("EW","c")</f>
      </c>
      <c r="F70">
        <f>MASSIVE.STOCKS.AGG_MINUTE("EW","v")</f>
      </c>
      <c r="G70">
        <f>MASSIVE.STOCKS.AGG_MINUTE("EW","a")</f>
      </c>
      <c r="H70">
        <f>MASSIVE.STOCKS.AGG_MINUTE("EW","vw")</f>
      </c>
      <c r="I70">
        <f>MASSIVE.STOCKS.AGG_MINUTE("EW","op")</f>
      </c>
      <c r="J70">
        <f>MASSIVE.STOCKS.AGG_MINUTE("EW","av")</f>
      </c>
    </row>
    <row r="71">
      <c r="A71" t="s">
        <v>79</v>
      </c>
      <c r="B71">
        <f>MASSIVE.STOCKS.AGG_MINUTE("EXC","o")</f>
      </c>
      <c r="C71">
        <f>MASSIVE.STOCKS.AGG_MINUTE("EXC","h")</f>
      </c>
      <c r="D71">
        <f>MASSIVE.STOCKS.AGG_MINUTE("EXC","l")</f>
      </c>
      <c r="E71">
        <f>MASSIVE.STOCKS.AGG_MINUTE("EXC","c")</f>
      </c>
      <c r="F71">
        <f>MASSIVE.STOCKS.AGG_MINUTE("EXC","v")</f>
      </c>
      <c r="G71">
        <f>MASSIVE.STOCKS.AGG_MINUTE("EXC","a")</f>
      </c>
      <c r="H71">
        <f>MASSIVE.STOCKS.AGG_MINUTE("EXC","vw")</f>
      </c>
      <c r="I71">
        <f>MASSIVE.STOCKS.AGG_MINUTE("EXC","op")</f>
      </c>
      <c r="J71">
        <f>MASSIVE.STOCKS.AGG_MINUTE("EXC","av")</f>
      </c>
    </row>
    <row r="72">
      <c r="A72" t="s">
        <v>80</v>
      </c>
      <c r="B72">
        <f>MASSIVE.STOCKS.AGG_MINUTE("F","o")</f>
      </c>
      <c r="C72">
        <f>MASSIVE.STOCKS.AGG_MINUTE("F","h")</f>
      </c>
      <c r="D72">
        <f>MASSIVE.STOCKS.AGG_MINUTE("F","l")</f>
      </c>
      <c r="E72">
        <f>MASSIVE.STOCKS.AGG_MINUTE("F","c")</f>
      </c>
      <c r="F72">
        <f>MASSIVE.STOCKS.AGG_MINUTE("F","v")</f>
      </c>
      <c r="G72">
        <f>MASSIVE.STOCKS.AGG_MINUTE("F","a")</f>
      </c>
      <c r="H72">
        <f>MASSIVE.STOCKS.AGG_MINUTE("F","vw")</f>
      </c>
      <c r="I72">
        <f>MASSIVE.STOCKS.AGG_MINUTE("F","op")</f>
      </c>
      <c r="J72">
        <f>MASSIVE.STOCKS.AGG_MINUTE("F","av")</f>
      </c>
    </row>
    <row r="73">
      <c r="A73" t="s">
        <v>81</v>
      </c>
      <c r="B73">
        <f>MASSIVE.STOCKS.AGG_MINUTE("FANG","o")</f>
      </c>
      <c r="C73">
        <f>MASSIVE.STOCKS.AGG_MINUTE("FANG","h")</f>
      </c>
      <c r="D73">
        <f>MASSIVE.STOCKS.AGG_MINUTE("FANG","l")</f>
      </c>
      <c r="E73">
        <f>MASSIVE.STOCKS.AGG_MINUTE("FANG","c")</f>
      </c>
      <c r="F73">
        <f>MASSIVE.STOCKS.AGG_MINUTE("FANG","v")</f>
      </c>
      <c r="G73">
        <f>MASSIVE.STOCKS.AGG_MINUTE("FANG","a")</f>
      </c>
      <c r="H73">
        <f>MASSIVE.STOCKS.AGG_MINUTE("FANG","vw")</f>
      </c>
      <c r="I73">
        <f>MASSIVE.STOCKS.AGG_MINUTE("FANG","op")</f>
      </c>
      <c r="J73">
        <f>MASSIVE.STOCKS.AGG_MINUTE("FANG","av")</f>
      </c>
    </row>
    <row r="74">
      <c r="A74" t="s">
        <v>82</v>
      </c>
      <c r="B74">
        <f>MASSIVE.STOCKS.AGG_MINUTE("FAST","o")</f>
      </c>
      <c r="C74">
        <f>MASSIVE.STOCKS.AGG_MINUTE("FAST","h")</f>
      </c>
      <c r="D74">
        <f>MASSIVE.STOCKS.AGG_MINUTE("FAST","l")</f>
      </c>
      <c r="E74">
        <f>MASSIVE.STOCKS.AGG_MINUTE("FAST","c")</f>
      </c>
      <c r="F74">
        <f>MASSIVE.STOCKS.AGG_MINUTE("FAST","v")</f>
      </c>
      <c r="G74">
        <f>MASSIVE.STOCKS.AGG_MINUTE("FAST","a")</f>
      </c>
      <c r="H74">
        <f>MASSIVE.STOCKS.AGG_MINUTE("FAST","vw")</f>
      </c>
      <c r="I74">
        <f>MASSIVE.STOCKS.AGG_MINUTE("FAST","op")</f>
      </c>
      <c r="J74">
        <f>MASSIVE.STOCKS.AGG_MINUTE("FAST","av")</f>
      </c>
    </row>
    <row r="75">
      <c r="A75" t="s">
        <v>83</v>
      </c>
      <c r="B75">
        <f>MASSIVE.STOCKS.AGG_MINUTE("FTNT","o")</f>
      </c>
      <c r="C75">
        <f>MASSIVE.STOCKS.AGG_MINUTE("FTNT","h")</f>
      </c>
      <c r="D75">
        <f>MASSIVE.STOCKS.AGG_MINUTE("FTNT","l")</f>
      </c>
      <c r="E75">
        <f>MASSIVE.STOCKS.AGG_MINUTE("FTNT","c")</f>
      </c>
      <c r="F75">
        <f>MASSIVE.STOCKS.AGG_MINUTE("FTNT","v")</f>
      </c>
      <c r="G75">
        <f>MASSIVE.STOCKS.AGG_MINUTE("FTNT","a")</f>
      </c>
      <c r="H75">
        <f>MASSIVE.STOCKS.AGG_MINUTE("FTNT","vw")</f>
      </c>
      <c r="I75">
        <f>MASSIVE.STOCKS.AGG_MINUTE("FTNT","op")</f>
      </c>
      <c r="J75">
        <f>MASSIVE.STOCKS.AGG_MINUTE("FTNT","av")</f>
      </c>
    </row>
    <row r="76">
      <c r="A76" t="s">
        <v>84</v>
      </c>
      <c r="B76">
        <f>MASSIVE.STOCKS.AGG_MINUTE("GD","o")</f>
      </c>
      <c r="C76">
        <f>MASSIVE.STOCKS.AGG_MINUTE("GD","h")</f>
      </c>
      <c r="D76">
        <f>MASSIVE.STOCKS.AGG_MINUTE("GD","l")</f>
      </c>
      <c r="E76">
        <f>MASSIVE.STOCKS.AGG_MINUTE("GD","c")</f>
      </c>
      <c r="F76">
        <f>MASSIVE.STOCKS.AGG_MINUTE("GD","v")</f>
      </c>
      <c r="G76">
        <f>MASSIVE.STOCKS.AGG_MINUTE("GD","a")</f>
      </c>
      <c r="H76">
        <f>MASSIVE.STOCKS.AGG_MINUTE("GD","vw")</f>
      </c>
      <c r="I76">
        <f>MASSIVE.STOCKS.AGG_MINUTE("GD","op")</f>
      </c>
      <c r="J76">
        <f>MASSIVE.STOCKS.AGG_MINUTE("GD","av")</f>
      </c>
    </row>
    <row r="77">
      <c r="A77" t="s">
        <v>85</v>
      </c>
      <c r="B77">
        <f>MASSIVE.STOCKS.AGG_MINUTE("GE","o")</f>
      </c>
      <c r="C77">
        <f>MASSIVE.STOCKS.AGG_MINUTE("GE","h")</f>
      </c>
      <c r="D77">
        <f>MASSIVE.STOCKS.AGG_MINUTE("GE","l")</f>
      </c>
      <c r="E77">
        <f>MASSIVE.STOCKS.AGG_MINUTE("GE","c")</f>
      </c>
      <c r="F77">
        <f>MASSIVE.STOCKS.AGG_MINUTE("GE","v")</f>
      </c>
      <c r="G77">
        <f>MASSIVE.STOCKS.AGG_MINUTE("GE","a")</f>
      </c>
      <c r="H77">
        <f>MASSIVE.STOCKS.AGG_MINUTE("GE","vw")</f>
      </c>
      <c r="I77">
        <f>MASSIVE.STOCKS.AGG_MINUTE("GE","op")</f>
      </c>
      <c r="J77">
        <f>MASSIVE.STOCKS.AGG_MINUTE("GE","av")</f>
      </c>
    </row>
    <row r="78">
      <c r="A78" t="s">
        <v>86</v>
      </c>
      <c r="B78">
        <f>MASSIVE.STOCKS.AGG_MINUTE("GEHC","o")</f>
      </c>
      <c r="C78">
        <f>MASSIVE.STOCKS.AGG_MINUTE("GEHC","h")</f>
      </c>
      <c r="D78">
        <f>MASSIVE.STOCKS.AGG_MINUTE("GEHC","l")</f>
      </c>
      <c r="E78">
        <f>MASSIVE.STOCKS.AGG_MINUTE("GEHC","c")</f>
      </c>
      <c r="F78">
        <f>MASSIVE.STOCKS.AGG_MINUTE("GEHC","v")</f>
      </c>
      <c r="G78">
        <f>MASSIVE.STOCKS.AGG_MINUTE("GEHC","a")</f>
      </c>
      <c r="H78">
        <f>MASSIVE.STOCKS.AGG_MINUTE("GEHC","vw")</f>
      </c>
      <c r="I78">
        <f>MASSIVE.STOCKS.AGG_MINUTE("GEHC","op")</f>
      </c>
      <c r="J78">
        <f>MASSIVE.STOCKS.AGG_MINUTE("GEHC","av")</f>
      </c>
    </row>
    <row r="79">
      <c r="A79" t="s">
        <v>87</v>
      </c>
      <c r="B79">
        <f>MASSIVE.STOCKS.AGG_MINUTE("GM","o")</f>
      </c>
      <c r="C79">
        <f>MASSIVE.STOCKS.AGG_MINUTE("GM","h")</f>
      </c>
      <c r="D79">
        <f>MASSIVE.STOCKS.AGG_MINUTE("GM","l")</f>
      </c>
      <c r="E79">
        <f>MASSIVE.STOCKS.AGG_MINUTE("GM","c")</f>
      </c>
      <c r="F79">
        <f>MASSIVE.STOCKS.AGG_MINUTE("GM","v")</f>
      </c>
      <c r="G79">
        <f>MASSIVE.STOCKS.AGG_MINUTE("GM","a")</f>
      </c>
      <c r="H79">
        <f>MASSIVE.STOCKS.AGG_MINUTE("GM","vw")</f>
      </c>
      <c r="I79">
        <f>MASSIVE.STOCKS.AGG_MINUTE("GM","op")</f>
      </c>
      <c r="J79">
        <f>MASSIVE.STOCKS.AGG_MINUTE("GM","av")</f>
      </c>
    </row>
    <row r="80">
      <c r="A80" t="s">
        <v>88</v>
      </c>
      <c r="B80">
        <f>MASSIVE.STOCKS.AGG_MINUTE("GOOG","o")</f>
      </c>
      <c r="C80">
        <f>MASSIVE.STOCKS.AGG_MINUTE("GOOG","h")</f>
      </c>
      <c r="D80">
        <f>MASSIVE.STOCKS.AGG_MINUTE("GOOG","l")</f>
      </c>
      <c r="E80">
        <f>MASSIVE.STOCKS.AGG_MINUTE("GOOG","c")</f>
      </c>
      <c r="F80">
        <f>MASSIVE.STOCKS.AGG_MINUTE("GOOG","v")</f>
      </c>
      <c r="G80">
        <f>MASSIVE.STOCKS.AGG_MINUTE("GOOG","a")</f>
      </c>
      <c r="H80">
        <f>MASSIVE.STOCKS.AGG_MINUTE("GOOG","vw")</f>
      </c>
      <c r="I80">
        <f>MASSIVE.STOCKS.AGG_MINUTE("GOOG","op")</f>
      </c>
      <c r="J80">
        <f>MASSIVE.STOCKS.AGG_MINUTE("GOOG","av")</f>
      </c>
    </row>
    <row r="81">
      <c r="A81" t="s">
        <v>89</v>
      </c>
      <c r="B81">
        <f>MASSIVE.STOCKS.AGG_MINUTE("GOOGL","o")</f>
      </c>
      <c r="C81">
        <f>MASSIVE.STOCKS.AGG_MINUTE("GOOGL","h")</f>
      </c>
      <c r="D81">
        <f>MASSIVE.STOCKS.AGG_MINUTE("GOOGL","l")</f>
      </c>
      <c r="E81">
        <f>MASSIVE.STOCKS.AGG_MINUTE("GOOGL","c")</f>
      </c>
      <c r="F81">
        <f>MASSIVE.STOCKS.AGG_MINUTE("GOOGL","v")</f>
      </c>
      <c r="G81">
        <f>MASSIVE.STOCKS.AGG_MINUTE("GOOGL","a")</f>
      </c>
      <c r="H81">
        <f>MASSIVE.STOCKS.AGG_MINUTE("GOOGL","vw")</f>
      </c>
      <c r="I81">
        <f>MASSIVE.STOCKS.AGG_MINUTE("GOOGL","op")</f>
      </c>
      <c r="J81">
        <f>MASSIVE.STOCKS.AGG_MINUTE("GOOGL","av")</f>
      </c>
    </row>
    <row r="82">
      <c r="A82" t="s">
        <v>90</v>
      </c>
      <c r="B82">
        <f>MASSIVE.STOCKS.AGG_MINUTE("GS","o")</f>
      </c>
      <c r="C82">
        <f>MASSIVE.STOCKS.AGG_MINUTE("GS","h")</f>
      </c>
      <c r="D82">
        <f>MASSIVE.STOCKS.AGG_MINUTE("GS","l")</f>
      </c>
      <c r="E82">
        <f>MASSIVE.STOCKS.AGG_MINUTE("GS","c")</f>
      </c>
      <c r="F82">
        <f>MASSIVE.STOCKS.AGG_MINUTE("GS","v")</f>
      </c>
      <c r="G82">
        <f>MASSIVE.STOCKS.AGG_MINUTE("GS","a")</f>
      </c>
      <c r="H82">
        <f>MASSIVE.STOCKS.AGG_MINUTE("GS","vw")</f>
      </c>
      <c r="I82">
        <f>MASSIVE.STOCKS.AGG_MINUTE("GS","op")</f>
      </c>
      <c r="J82">
        <f>MASSIVE.STOCKS.AGG_MINUTE("GS","av")</f>
      </c>
    </row>
    <row r="83">
      <c r="A83" t="s">
        <v>91</v>
      </c>
      <c r="B83">
        <f>MASSIVE.STOCKS.AGG_MINUTE("HCA","o")</f>
      </c>
      <c r="C83">
        <f>MASSIVE.STOCKS.AGG_MINUTE("HCA","h")</f>
      </c>
      <c r="D83">
        <f>MASSIVE.STOCKS.AGG_MINUTE("HCA","l")</f>
      </c>
      <c r="E83">
        <f>MASSIVE.STOCKS.AGG_MINUTE("HCA","c")</f>
      </c>
      <c r="F83">
        <f>MASSIVE.STOCKS.AGG_MINUTE("HCA","v")</f>
      </c>
      <c r="G83">
        <f>MASSIVE.STOCKS.AGG_MINUTE("HCA","a")</f>
      </c>
      <c r="H83">
        <f>MASSIVE.STOCKS.AGG_MINUTE("HCA","vw")</f>
      </c>
      <c r="I83">
        <f>MASSIVE.STOCKS.AGG_MINUTE("HCA","op")</f>
      </c>
      <c r="J83">
        <f>MASSIVE.STOCKS.AGG_MINUTE("HCA","av")</f>
      </c>
    </row>
    <row r="84">
      <c r="A84" t="s">
        <v>92</v>
      </c>
      <c r="B84">
        <f>MASSIVE.STOCKS.AGG_MINUTE("HD","o")</f>
      </c>
      <c r="C84">
        <f>MASSIVE.STOCKS.AGG_MINUTE("HD","h")</f>
      </c>
      <c r="D84">
        <f>MASSIVE.STOCKS.AGG_MINUTE("HD","l")</f>
      </c>
      <c r="E84">
        <f>MASSIVE.STOCKS.AGG_MINUTE("HD","c")</f>
      </c>
      <c r="F84">
        <f>MASSIVE.STOCKS.AGG_MINUTE("HD","v")</f>
      </c>
      <c r="G84">
        <f>MASSIVE.STOCKS.AGG_MINUTE("HD","a")</f>
      </c>
      <c r="H84">
        <f>MASSIVE.STOCKS.AGG_MINUTE("HD","vw")</f>
      </c>
      <c r="I84">
        <f>MASSIVE.STOCKS.AGG_MINUTE("HD","op")</f>
      </c>
      <c r="J84">
        <f>MASSIVE.STOCKS.AGG_MINUTE("HD","av")</f>
      </c>
    </row>
    <row r="85">
      <c r="A85" t="s">
        <v>93</v>
      </c>
      <c r="B85">
        <f>MASSIVE.STOCKS.AGG_MINUTE("HLT","o")</f>
      </c>
      <c r="C85">
        <f>MASSIVE.STOCKS.AGG_MINUTE("HLT","h")</f>
      </c>
      <c r="D85">
        <f>MASSIVE.STOCKS.AGG_MINUTE("HLT","l")</f>
      </c>
      <c r="E85">
        <f>MASSIVE.STOCKS.AGG_MINUTE("HLT","c")</f>
      </c>
      <c r="F85">
        <f>MASSIVE.STOCKS.AGG_MINUTE("HLT","v")</f>
      </c>
      <c r="G85">
        <f>MASSIVE.STOCKS.AGG_MINUTE("HLT","a")</f>
      </c>
      <c r="H85">
        <f>MASSIVE.STOCKS.AGG_MINUTE("HLT","vw")</f>
      </c>
      <c r="I85">
        <f>MASSIVE.STOCKS.AGG_MINUTE("HLT","op")</f>
      </c>
      <c r="J85">
        <f>MASSIVE.STOCKS.AGG_MINUTE("HLT","av")</f>
      </c>
    </row>
    <row r="86">
      <c r="A86" t="s">
        <v>94</v>
      </c>
      <c r="B86">
        <f>MASSIVE.STOCKS.AGG_MINUTE("HSY","o")</f>
      </c>
      <c r="C86">
        <f>MASSIVE.STOCKS.AGG_MINUTE("HSY","h")</f>
      </c>
      <c r="D86">
        <f>MASSIVE.STOCKS.AGG_MINUTE("HSY","l")</f>
      </c>
      <c r="E86">
        <f>MASSIVE.STOCKS.AGG_MINUTE("HSY","c")</f>
      </c>
      <c r="F86">
        <f>MASSIVE.STOCKS.AGG_MINUTE("HSY","v")</f>
      </c>
      <c r="G86">
        <f>MASSIVE.STOCKS.AGG_MINUTE("HSY","a")</f>
      </c>
      <c r="H86">
        <f>MASSIVE.STOCKS.AGG_MINUTE("HSY","vw")</f>
      </c>
      <c r="I86">
        <f>MASSIVE.STOCKS.AGG_MINUTE("HSY","op")</f>
      </c>
      <c r="J86">
        <f>MASSIVE.STOCKS.AGG_MINUTE("HSY","av")</f>
      </c>
    </row>
    <row r="87">
      <c r="A87" t="s">
        <v>95</v>
      </c>
      <c r="B87">
        <f>MASSIVE.STOCKS.AGG_MINUTE("HUBS","o")</f>
      </c>
      <c r="C87">
        <f>MASSIVE.STOCKS.AGG_MINUTE("HUBS","h")</f>
      </c>
      <c r="D87">
        <f>MASSIVE.STOCKS.AGG_MINUTE("HUBS","l")</f>
      </c>
      <c r="E87">
        <f>MASSIVE.STOCKS.AGG_MINUTE("HUBS","c")</f>
      </c>
      <c r="F87">
        <f>MASSIVE.STOCKS.AGG_MINUTE("HUBS","v")</f>
      </c>
      <c r="G87">
        <f>MASSIVE.STOCKS.AGG_MINUTE("HUBS","a")</f>
      </c>
      <c r="H87">
        <f>MASSIVE.STOCKS.AGG_MINUTE("HUBS","vw")</f>
      </c>
      <c r="I87">
        <f>MASSIVE.STOCKS.AGG_MINUTE("HUBS","op")</f>
      </c>
      <c r="J87">
        <f>MASSIVE.STOCKS.AGG_MINUTE("HUBS","av")</f>
      </c>
    </row>
    <row r="88">
      <c r="A88" t="s">
        <v>96</v>
      </c>
      <c r="B88">
        <f>MASSIVE.STOCKS.AGG_MINUTE("IBM","o")</f>
      </c>
      <c r="C88">
        <f>MASSIVE.STOCKS.AGG_MINUTE("IBM","h")</f>
      </c>
      <c r="D88">
        <f>MASSIVE.STOCKS.AGG_MINUTE("IBM","l")</f>
      </c>
      <c r="E88">
        <f>MASSIVE.STOCKS.AGG_MINUTE("IBM","c")</f>
      </c>
      <c r="F88">
        <f>MASSIVE.STOCKS.AGG_MINUTE("IBM","v")</f>
      </c>
      <c r="G88">
        <f>MASSIVE.STOCKS.AGG_MINUTE("IBM","a")</f>
      </c>
      <c r="H88">
        <f>MASSIVE.STOCKS.AGG_MINUTE("IBM","vw")</f>
      </c>
      <c r="I88">
        <f>MASSIVE.STOCKS.AGG_MINUTE("IBM","op")</f>
      </c>
      <c r="J88">
        <f>MASSIVE.STOCKS.AGG_MINUTE("IBM","av")</f>
      </c>
    </row>
    <row r="89">
      <c r="A89" t="s">
        <v>97</v>
      </c>
      <c r="B89">
        <f>MASSIVE.STOCKS.AGG_MINUTE("ICE","o")</f>
      </c>
      <c r="C89">
        <f>MASSIVE.STOCKS.AGG_MINUTE("ICE","h")</f>
      </c>
      <c r="D89">
        <f>MASSIVE.STOCKS.AGG_MINUTE("ICE","l")</f>
      </c>
      <c r="E89">
        <f>MASSIVE.STOCKS.AGG_MINUTE("ICE","c")</f>
      </c>
      <c r="F89">
        <f>MASSIVE.STOCKS.AGG_MINUTE("ICE","v")</f>
      </c>
      <c r="G89">
        <f>MASSIVE.STOCKS.AGG_MINUTE("ICE","a")</f>
      </c>
      <c r="H89">
        <f>MASSIVE.STOCKS.AGG_MINUTE("ICE","vw")</f>
      </c>
      <c r="I89">
        <f>MASSIVE.STOCKS.AGG_MINUTE("ICE","op")</f>
      </c>
      <c r="J89">
        <f>MASSIVE.STOCKS.AGG_MINUTE("ICE","av")</f>
      </c>
    </row>
    <row r="90">
      <c r="A90" t="s">
        <v>98</v>
      </c>
      <c r="B90">
        <f>MASSIVE.STOCKS.AGG_MINUTE("IDXX","o")</f>
      </c>
      <c r="C90">
        <f>MASSIVE.STOCKS.AGG_MINUTE("IDXX","h")</f>
      </c>
      <c r="D90">
        <f>MASSIVE.STOCKS.AGG_MINUTE("IDXX","l")</f>
      </c>
      <c r="E90">
        <f>MASSIVE.STOCKS.AGG_MINUTE("IDXX","c")</f>
      </c>
      <c r="F90">
        <f>MASSIVE.STOCKS.AGG_MINUTE("IDXX","v")</f>
      </c>
      <c r="G90">
        <f>MASSIVE.STOCKS.AGG_MINUTE("IDXX","a")</f>
      </c>
      <c r="H90">
        <f>MASSIVE.STOCKS.AGG_MINUTE("IDXX","vw")</f>
      </c>
      <c r="I90">
        <f>MASSIVE.STOCKS.AGG_MINUTE("IDXX","op")</f>
      </c>
      <c r="J90">
        <f>MASSIVE.STOCKS.AGG_MINUTE("IDXX","av")</f>
      </c>
    </row>
    <row r="91">
      <c r="A91" t="s">
        <v>99</v>
      </c>
      <c r="B91">
        <f>MASSIVE.STOCKS.AGG_MINUTE("INTC","o")</f>
      </c>
      <c r="C91">
        <f>MASSIVE.STOCKS.AGG_MINUTE("INTC","h")</f>
      </c>
      <c r="D91">
        <f>MASSIVE.STOCKS.AGG_MINUTE("INTC","l")</f>
      </c>
      <c r="E91">
        <f>MASSIVE.STOCKS.AGG_MINUTE("INTC","c")</f>
      </c>
      <c r="F91">
        <f>MASSIVE.STOCKS.AGG_MINUTE("INTC","v")</f>
      </c>
      <c r="G91">
        <f>MASSIVE.STOCKS.AGG_MINUTE("INTC","a")</f>
      </c>
      <c r="H91">
        <f>MASSIVE.STOCKS.AGG_MINUTE("INTC","vw")</f>
      </c>
      <c r="I91">
        <f>MASSIVE.STOCKS.AGG_MINUTE("INTC","op")</f>
      </c>
      <c r="J91">
        <f>MASSIVE.STOCKS.AGG_MINUTE("INTC","av")</f>
      </c>
    </row>
    <row r="92">
      <c r="A92" t="s">
        <v>100</v>
      </c>
      <c r="B92">
        <f>MASSIVE.STOCKS.AGG_MINUTE("INTU","o")</f>
      </c>
      <c r="C92">
        <f>MASSIVE.STOCKS.AGG_MINUTE("INTU","h")</f>
      </c>
      <c r="D92">
        <f>MASSIVE.STOCKS.AGG_MINUTE("INTU","l")</f>
      </c>
      <c r="E92">
        <f>MASSIVE.STOCKS.AGG_MINUTE("INTU","c")</f>
      </c>
      <c r="F92">
        <f>MASSIVE.STOCKS.AGG_MINUTE("INTU","v")</f>
      </c>
      <c r="G92">
        <f>MASSIVE.STOCKS.AGG_MINUTE("INTU","a")</f>
      </c>
      <c r="H92">
        <f>MASSIVE.STOCKS.AGG_MINUTE("INTU","vw")</f>
      </c>
      <c r="I92">
        <f>MASSIVE.STOCKS.AGG_MINUTE("INTU","op")</f>
      </c>
      <c r="J92">
        <f>MASSIVE.STOCKS.AGG_MINUTE("INTU","av")</f>
      </c>
    </row>
    <row r="93">
      <c r="A93" t="s">
        <v>101</v>
      </c>
      <c r="B93">
        <f>MASSIVE.STOCKS.AGG_MINUTE("IQV","o")</f>
      </c>
      <c r="C93">
        <f>MASSIVE.STOCKS.AGG_MINUTE("IQV","h")</f>
      </c>
      <c r="D93">
        <f>MASSIVE.STOCKS.AGG_MINUTE("IQV","l")</f>
      </c>
      <c r="E93">
        <f>MASSIVE.STOCKS.AGG_MINUTE("IQV","c")</f>
      </c>
      <c r="F93">
        <f>MASSIVE.STOCKS.AGG_MINUTE("IQV","v")</f>
      </c>
      <c r="G93">
        <f>MASSIVE.STOCKS.AGG_MINUTE("IQV","a")</f>
      </c>
      <c r="H93">
        <f>MASSIVE.STOCKS.AGG_MINUTE("IQV","vw")</f>
      </c>
      <c r="I93">
        <f>MASSIVE.STOCKS.AGG_MINUTE("IQV","op")</f>
      </c>
      <c r="J93">
        <f>MASSIVE.STOCKS.AGG_MINUTE("IQV","av")</f>
      </c>
    </row>
    <row r="94">
      <c r="A94" t="s">
        <v>102</v>
      </c>
      <c r="B94">
        <f>MASSIVE.STOCKS.AGG_MINUTE("ISRG","o")</f>
      </c>
      <c r="C94">
        <f>MASSIVE.STOCKS.AGG_MINUTE("ISRG","h")</f>
      </c>
      <c r="D94">
        <f>MASSIVE.STOCKS.AGG_MINUTE("ISRG","l")</f>
      </c>
      <c r="E94">
        <f>MASSIVE.STOCKS.AGG_MINUTE("ISRG","c")</f>
      </c>
      <c r="F94">
        <f>MASSIVE.STOCKS.AGG_MINUTE("ISRG","v")</f>
      </c>
      <c r="G94">
        <f>MASSIVE.STOCKS.AGG_MINUTE("ISRG","a")</f>
      </c>
      <c r="H94">
        <f>MASSIVE.STOCKS.AGG_MINUTE("ISRG","vw")</f>
      </c>
      <c r="I94">
        <f>MASSIVE.STOCKS.AGG_MINUTE("ISRG","op")</f>
      </c>
      <c r="J94">
        <f>MASSIVE.STOCKS.AGG_MINUTE("ISRG","av")</f>
      </c>
    </row>
    <row r="95">
      <c r="A95" t="s">
        <v>103</v>
      </c>
      <c r="B95">
        <f>MASSIVE.STOCKS.AGG_MINUTE("ITW","o")</f>
      </c>
      <c r="C95">
        <f>MASSIVE.STOCKS.AGG_MINUTE("ITW","h")</f>
      </c>
      <c r="D95">
        <f>MASSIVE.STOCKS.AGG_MINUTE("ITW","l")</f>
      </c>
      <c r="E95">
        <f>MASSIVE.STOCKS.AGG_MINUTE("ITW","c")</f>
      </c>
      <c r="F95">
        <f>MASSIVE.STOCKS.AGG_MINUTE("ITW","v")</f>
      </c>
      <c r="G95">
        <f>MASSIVE.STOCKS.AGG_MINUTE("ITW","a")</f>
      </c>
      <c r="H95">
        <f>MASSIVE.STOCKS.AGG_MINUTE("ITW","vw")</f>
      </c>
      <c r="I95">
        <f>MASSIVE.STOCKS.AGG_MINUTE("ITW","op")</f>
      </c>
      <c r="J95">
        <f>MASSIVE.STOCKS.AGG_MINUTE("ITW","av")</f>
      </c>
    </row>
    <row r="96">
      <c r="A96" t="s">
        <v>104</v>
      </c>
      <c r="B96">
        <f>MASSIVE.STOCKS.AGG_MINUTE("JNJ","o")</f>
      </c>
      <c r="C96">
        <f>MASSIVE.STOCKS.AGG_MINUTE("JNJ","h")</f>
      </c>
      <c r="D96">
        <f>MASSIVE.STOCKS.AGG_MINUTE("JNJ","l")</f>
      </c>
      <c r="E96">
        <f>MASSIVE.STOCKS.AGG_MINUTE("JNJ","c")</f>
      </c>
      <c r="F96">
        <f>MASSIVE.STOCKS.AGG_MINUTE("JNJ","v")</f>
      </c>
      <c r="G96">
        <f>MASSIVE.STOCKS.AGG_MINUTE("JNJ","a")</f>
      </c>
      <c r="H96">
        <f>MASSIVE.STOCKS.AGG_MINUTE("JNJ","vw")</f>
      </c>
      <c r="I96">
        <f>MASSIVE.STOCKS.AGG_MINUTE("JNJ","op")</f>
      </c>
      <c r="J96">
        <f>MASSIVE.STOCKS.AGG_MINUTE("JNJ","av")</f>
      </c>
    </row>
    <row r="97">
      <c r="A97" t="s">
        <v>105</v>
      </c>
      <c r="B97">
        <f>MASSIVE.STOCKS.AGG_MINUTE("JPM","o")</f>
      </c>
      <c r="C97">
        <f>MASSIVE.STOCKS.AGG_MINUTE("JPM","h")</f>
      </c>
      <c r="D97">
        <f>MASSIVE.STOCKS.AGG_MINUTE("JPM","l")</f>
      </c>
      <c r="E97">
        <f>MASSIVE.STOCKS.AGG_MINUTE("JPM","c")</f>
      </c>
      <c r="F97">
        <f>MASSIVE.STOCKS.AGG_MINUTE("JPM","v")</f>
      </c>
      <c r="G97">
        <f>MASSIVE.STOCKS.AGG_MINUTE("JPM","a")</f>
      </c>
      <c r="H97">
        <f>MASSIVE.STOCKS.AGG_MINUTE("JPM","vw")</f>
      </c>
      <c r="I97">
        <f>MASSIVE.STOCKS.AGG_MINUTE("JPM","op")</f>
      </c>
      <c r="J97">
        <f>MASSIVE.STOCKS.AGG_MINUTE("JPM","av")</f>
      </c>
    </row>
    <row r="98">
      <c r="A98" t="s">
        <v>106</v>
      </c>
      <c r="B98">
        <f>MASSIVE.STOCKS.AGG_MINUTE("KDP","o")</f>
      </c>
      <c r="C98">
        <f>MASSIVE.STOCKS.AGG_MINUTE("KDP","h")</f>
      </c>
      <c r="D98">
        <f>MASSIVE.STOCKS.AGG_MINUTE("KDP","l")</f>
      </c>
      <c r="E98">
        <f>MASSIVE.STOCKS.AGG_MINUTE("KDP","c")</f>
      </c>
      <c r="F98">
        <f>MASSIVE.STOCKS.AGG_MINUTE("KDP","v")</f>
      </c>
      <c r="G98">
        <f>MASSIVE.STOCKS.AGG_MINUTE("KDP","a")</f>
      </c>
      <c r="H98">
        <f>MASSIVE.STOCKS.AGG_MINUTE("KDP","vw")</f>
      </c>
      <c r="I98">
        <f>MASSIVE.STOCKS.AGG_MINUTE("KDP","op")</f>
      </c>
      <c r="J98">
        <f>MASSIVE.STOCKS.AGG_MINUTE("KDP","av")</f>
      </c>
    </row>
    <row r="99">
      <c r="A99" t="s">
        <v>107</v>
      </c>
      <c r="B99">
        <f>MASSIVE.STOCKS.AGG_MINUTE("KLAC","o")</f>
      </c>
      <c r="C99">
        <f>MASSIVE.STOCKS.AGG_MINUTE("KLAC","h")</f>
      </c>
      <c r="D99">
        <f>MASSIVE.STOCKS.AGG_MINUTE("KLAC","l")</f>
      </c>
      <c r="E99">
        <f>MASSIVE.STOCKS.AGG_MINUTE("KLAC","c")</f>
      </c>
      <c r="F99">
        <f>MASSIVE.STOCKS.AGG_MINUTE("KLAC","v")</f>
      </c>
      <c r="G99">
        <f>MASSIVE.STOCKS.AGG_MINUTE("KLAC","a")</f>
      </c>
      <c r="H99">
        <f>MASSIVE.STOCKS.AGG_MINUTE("KLAC","vw")</f>
      </c>
      <c r="I99">
        <f>MASSIVE.STOCKS.AGG_MINUTE("KLAC","op")</f>
      </c>
      <c r="J99">
        <f>MASSIVE.STOCKS.AGG_MINUTE("KLAC","av")</f>
      </c>
    </row>
    <row r="100">
      <c r="A100" t="s">
        <v>108</v>
      </c>
      <c r="B100">
        <f>MASSIVE.STOCKS.AGG_MINUTE("KMB","o")</f>
      </c>
      <c r="C100">
        <f>MASSIVE.STOCKS.AGG_MINUTE("KMB","h")</f>
      </c>
      <c r="D100">
        <f>MASSIVE.STOCKS.AGG_MINUTE("KMB","l")</f>
      </c>
      <c r="E100">
        <f>MASSIVE.STOCKS.AGG_MINUTE("KMB","c")</f>
      </c>
      <c r="F100">
        <f>MASSIVE.STOCKS.AGG_MINUTE("KMB","v")</f>
      </c>
      <c r="G100">
        <f>MASSIVE.STOCKS.AGG_MINUTE("KMB","a")</f>
      </c>
      <c r="H100">
        <f>MASSIVE.STOCKS.AGG_MINUTE("KMB","vw")</f>
      </c>
      <c r="I100">
        <f>MASSIVE.STOCKS.AGG_MINUTE("KMB","op")</f>
      </c>
      <c r="J100">
        <f>MASSIVE.STOCKS.AGG_MINUTE("KMB","av")</f>
      </c>
    </row>
    <row r="101">
      <c r="A101" t="s">
        <v>109</v>
      </c>
      <c r="B101">
        <f>MASSIVE.STOCKS.AGG_MINUTE("KO","o")</f>
      </c>
      <c r="C101">
        <f>MASSIVE.STOCKS.AGG_MINUTE("KO","h")</f>
      </c>
      <c r="D101">
        <f>MASSIVE.STOCKS.AGG_MINUTE("KO","l")</f>
      </c>
      <c r="E101">
        <f>MASSIVE.STOCKS.AGG_MINUTE("KO","c")</f>
      </c>
      <c r="F101">
        <f>MASSIVE.STOCKS.AGG_MINUTE("KO","v")</f>
      </c>
      <c r="G101">
        <f>MASSIVE.STOCKS.AGG_MINUTE("KO","a")</f>
      </c>
      <c r="H101">
        <f>MASSIVE.STOCKS.AGG_MINUTE("KO","vw")</f>
      </c>
      <c r="I101">
        <f>MASSIVE.STOCKS.AGG_MINUTE("KO","op")</f>
      </c>
      <c r="J101">
        <f>MASSIVE.STOCKS.AGG_MINUTE("KO","av")</f>
      </c>
    </row>
    <row r="102">
      <c r="A102" t="s">
        <v>110</v>
      </c>
      <c r="B102">
        <f>MASSIVE.STOCKS.AGG_MINUTE("KR","o")</f>
      </c>
      <c r="C102">
        <f>MASSIVE.STOCKS.AGG_MINUTE("KR","h")</f>
      </c>
      <c r="D102">
        <f>MASSIVE.STOCKS.AGG_MINUTE("KR","l")</f>
      </c>
      <c r="E102">
        <f>MASSIVE.STOCKS.AGG_MINUTE("KR","c")</f>
      </c>
      <c r="F102">
        <f>MASSIVE.STOCKS.AGG_MINUTE("KR","v")</f>
      </c>
      <c r="G102">
        <f>MASSIVE.STOCKS.AGG_MINUTE("KR","a")</f>
      </c>
      <c r="H102">
        <f>MASSIVE.STOCKS.AGG_MINUTE("KR","vw")</f>
      </c>
      <c r="I102">
        <f>MASSIVE.STOCKS.AGG_MINUTE("KR","op")</f>
      </c>
      <c r="J102">
        <f>MASSIVE.STOCKS.AGG_MINUTE("KR","av")</f>
      </c>
    </row>
    <row r="103">
      <c r="A103" t="s">
        <v>111</v>
      </c>
      <c r="B103">
        <f>MASSIVE.STOCKS.AGG_MINUTE("LHX","o")</f>
      </c>
      <c r="C103">
        <f>MASSIVE.STOCKS.AGG_MINUTE("LHX","h")</f>
      </c>
      <c r="D103">
        <f>MASSIVE.STOCKS.AGG_MINUTE("LHX","l")</f>
      </c>
      <c r="E103">
        <f>MASSIVE.STOCKS.AGG_MINUTE("LHX","c")</f>
      </c>
      <c r="F103">
        <f>MASSIVE.STOCKS.AGG_MINUTE("LHX","v")</f>
      </c>
      <c r="G103">
        <f>MASSIVE.STOCKS.AGG_MINUTE("LHX","a")</f>
      </c>
      <c r="H103">
        <f>MASSIVE.STOCKS.AGG_MINUTE("LHX","vw")</f>
      </c>
      <c r="I103">
        <f>MASSIVE.STOCKS.AGG_MINUTE("LHX","op")</f>
      </c>
      <c r="J103">
        <f>MASSIVE.STOCKS.AGG_MINUTE("LHX","av")</f>
      </c>
    </row>
    <row r="104">
      <c r="A104" t="s">
        <v>112</v>
      </c>
      <c r="B104">
        <f>MASSIVE.STOCKS.AGG_MINUTE("LIN","o")</f>
      </c>
      <c r="C104">
        <f>MASSIVE.STOCKS.AGG_MINUTE("LIN","h")</f>
      </c>
      <c r="D104">
        <f>MASSIVE.STOCKS.AGG_MINUTE("LIN","l")</f>
      </c>
      <c r="E104">
        <f>MASSIVE.STOCKS.AGG_MINUTE("LIN","c")</f>
      </c>
      <c r="F104">
        <f>MASSIVE.STOCKS.AGG_MINUTE("LIN","v")</f>
      </c>
      <c r="G104">
        <f>MASSIVE.STOCKS.AGG_MINUTE("LIN","a")</f>
      </c>
      <c r="H104">
        <f>MASSIVE.STOCKS.AGG_MINUTE("LIN","vw")</f>
      </c>
      <c r="I104">
        <f>MASSIVE.STOCKS.AGG_MINUTE("LIN","op")</f>
      </c>
      <c r="J104">
        <f>MASSIVE.STOCKS.AGG_MINUTE("LIN","av")</f>
      </c>
    </row>
    <row r="105">
      <c r="A105" t="s">
        <v>113</v>
      </c>
      <c r="B105">
        <f>MASSIVE.STOCKS.AGG_MINUTE("LLY","o")</f>
      </c>
      <c r="C105">
        <f>MASSIVE.STOCKS.AGG_MINUTE("LLY","h")</f>
      </c>
      <c r="D105">
        <f>MASSIVE.STOCKS.AGG_MINUTE("LLY","l")</f>
      </c>
      <c r="E105">
        <f>MASSIVE.STOCKS.AGG_MINUTE("LLY","c")</f>
      </c>
      <c r="F105">
        <f>MASSIVE.STOCKS.AGG_MINUTE("LLY","v")</f>
      </c>
      <c r="G105">
        <f>MASSIVE.STOCKS.AGG_MINUTE("LLY","a")</f>
      </c>
      <c r="H105">
        <f>MASSIVE.STOCKS.AGG_MINUTE("LLY","vw")</f>
      </c>
      <c r="I105">
        <f>MASSIVE.STOCKS.AGG_MINUTE("LLY","op")</f>
      </c>
      <c r="J105">
        <f>MASSIVE.STOCKS.AGG_MINUTE("LLY","av")</f>
      </c>
    </row>
    <row r="106">
      <c r="A106" t="s">
        <v>114</v>
      </c>
      <c r="B106">
        <f>MASSIVE.STOCKS.AGG_MINUTE("LOW","o")</f>
      </c>
      <c r="C106">
        <f>MASSIVE.STOCKS.AGG_MINUTE("LOW","h")</f>
      </c>
      <c r="D106">
        <f>MASSIVE.STOCKS.AGG_MINUTE("LOW","l")</f>
      </c>
      <c r="E106">
        <f>MASSIVE.STOCKS.AGG_MINUTE("LOW","c")</f>
      </c>
      <c r="F106">
        <f>MASSIVE.STOCKS.AGG_MINUTE("LOW","v")</f>
      </c>
      <c r="G106">
        <f>MASSIVE.STOCKS.AGG_MINUTE("LOW","a")</f>
      </c>
      <c r="H106">
        <f>MASSIVE.STOCKS.AGG_MINUTE("LOW","vw")</f>
      </c>
      <c r="I106">
        <f>MASSIVE.STOCKS.AGG_MINUTE("LOW","op")</f>
      </c>
      <c r="J106">
        <f>MASSIVE.STOCKS.AGG_MINUTE("LOW","av")</f>
      </c>
    </row>
    <row r="107">
      <c r="A107" t="s">
        <v>115</v>
      </c>
      <c r="B107">
        <f>MASSIVE.STOCKS.AGG_MINUTE("LRCX","o")</f>
      </c>
      <c r="C107">
        <f>MASSIVE.STOCKS.AGG_MINUTE("LRCX","h")</f>
      </c>
      <c r="D107">
        <f>MASSIVE.STOCKS.AGG_MINUTE("LRCX","l")</f>
      </c>
      <c r="E107">
        <f>MASSIVE.STOCKS.AGG_MINUTE("LRCX","c")</f>
      </c>
      <c r="F107">
        <f>MASSIVE.STOCKS.AGG_MINUTE("LRCX","v")</f>
      </c>
      <c r="G107">
        <f>MASSIVE.STOCKS.AGG_MINUTE("LRCX","a")</f>
      </c>
      <c r="H107">
        <f>MASSIVE.STOCKS.AGG_MINUTE("LRCX","vw")</f>
      </c>
      <c r="I107">
        <f>MASSIVE.STOCKS.AGG_MINUTE("LRCX","op")</f>
      </c>
      <c r="J107">
        <f>MASSIVE.STOCKS.AGG_MINUTE("LRCX","av")</f>
      </c>
    </row>
    <row r="108">
      <c r="A108" t="s">
        <v>116</v>
      </c>
      <c r="B108">
        <f>MASSIVE.STOCKS.AGG_MINUTE("LULU","o")</f>
      </c>
      <c r="C108">
        <f>MASSIVE.STOCKS.AGG_MINUTE("LULU","h")</f>
      </c>
      <c r="D108">
        <f>MASSIVE.STOCKS.AGG_MINUTE("LULU","l")</f>
      </c>
      <c r="E108">
        <f>MASSIVE.STOCKS.AGG_MINUTE("LULU","c")</f>
      </c>
      <c r="F108">
        <f>MASSIVE.STOCKS.AGG_MINUTE("LULU","v")</f>
      </c>
      <c r="G108">
        <f>MASSIVE.STOCKS.AGG_MINUTE("LULU","a")</f>
      </c>
      <c r="H108">
        <f>MASSIVE.STOCKS.AGG_MINUTE("LULU","vw")</f>
      </c>
      <c r="I108">
        <f>MASSIVE.STOCKS.AGG_MINUTE("LULU","op")</f>
      </c>
      <c r="J108">
        <f>MASSIVE.STOCKS.AGG_MINUTE("LULU","av")</f>
      </c>
    </row>
    <row r="109">
      <c r="A109" t="s">
        <v>117</v>
      </c>
      <c r="B109">
        <f>MASSIVE.STOCKS.AGG_MINUTE("LUV","o")</f>
      </c>
      <c r="C109">
        <f>MASSIVE.STOCKS.AGG_MINUTE("LUV","h")</f>
      </c>
      <c r="D109">
        <f>MASSIVE.STOCKS.AGG_MINUTE("LUV","l")</f>
      </c>
      <c r="E109">
        <f>MASSIVE.STOCKS.AGG_MINUTE("LUV","c")</f>
      </c>
      <c r="F109">
        <f>MASSIVE.STOCKS.AGG_MINUTE("LUV","v")</f>
      </c>
      <c r="G109">
        <f>MASSIVE.STOCKS.AGG_MINUTE("LUV","a")</f>
      </c>
      <c r="H109">
        <f>MASSIVE.STOCKS.AGG_MINUTE("LUV","vw")</f>
      </c>
      <c r="I109">
        <f>MASSIVE.STOCKS.AGG_MINUTE("LUV","op")</f>
      </c>
      <c r="J109">
        <f>MASSIVE.STOCKS.AGG_MINUTE("LUV","av")</f>
      </c>
    </row>
    <row r="110">
      <c r="A110" t="s">
        <v>118</v>
      </c>
      <c r="B110">
        <f>MASSIVE.STOCKS.AGG_MINUTE("MA","o")</f>
      </c>
      <c r="C110">
        <f>MASSIVE.STOCKS.AGG_MINUTE("MA","h")</f>
      </c>
      <c r="D110">
        <f>MASSIVE.STOCKS.AGG_MINUTE("MA","l")</f>
      </c>
      <c r="E110">
        <f>MASSIVE.STOCKS.AGG_MINUTE("MA","c")</f>
      </c>
      <c r="F110">
        <f>MASSIVE.STOCKS.AGG_MINUTE("MA","v")</f>
      </c>
      <c r="G110">
        <f>MASSIVE.STOCKS.AGG_MINUTE("MA","a")</f>
      </c>
      <c r="H110">
        <f>MASSIVE.STOCKS.AGG_MINUTE("MA","vw")</f>
      </c>
      <c r="I110">
        <f>MASSIVE.STOCKS.AGG_MINUTE("MA","op")</f>
      </c>
      <c r="J110">
        <f>MASSIVE.STOCKS.AGG_MINUTE("MA","av")</f>
      </c>
    </row>
    <row r="111">
      <c r="A111" t="s">
        <v>119</v>
      </c>
      <c r="B111">
        <f>MASSIVE.STOCKS.AGG_MINUTE("MAR","o")</f>
      </c>
      <c r="C111">
        <f>MASSIVE.STOCKS.AGG_MINUTE("MAR","h")</f>
      </c>
      <c r="D111">
        <f>MASSIVE.STOCKS.AGG_MINUTE("MAR","l")</f>
      </c>
      <c r="E111">
        <f>MASSIVE.STOCKS.AGG_MINUTE("MAR","c")</f>
      </c>
      <c r="F111">
        <f>MASSIVE.STOCKS.AGG_MINUTE("MAR","v")</f>
      </c>
      <c r="G111">
        <f>MASSIVE.STOCKS.AGG_MINUTE("MAR","a")</f>
      </c>
      <c r="H111">
        <f>MASSIVE.STOCKS.AGG_MINUTE("MAR","vw")</f>
      </c>
      <c r="I111">
        <f>MASSIVE.STOCKS.AGG_MINUTE("MAR","op")</f>
      </c>
      <c r="J111">
        <f>MASSIVE.STOCKS.AGG_MINUTE("MAR","av")</f>
      </c>
    </row>
    <row r="112">
      <c r="A112" t="s">
        <v>120</v>
      </c>
      <c r="B112">
        <f>MASSIVE.STOCKS.AGG_MINUTE("MCD","o")</f>
      </c>
      <c r="C112">
        <f>MASSIVE.STOCKS.AGG_MINUTE("MCD","h")</f>
      </c>
      <c r="D112">
        <f>MASSIVE.STOCKS.AGG_MINUTE("MCD","l")</f>
      </c>
      <c r="E112">
        <f>MASSIVE.STOCKS.AGG_MINUTE("MCD","c")</f>
      </c>
      <c r="F112">
        <f>MASSIVE.STOCKS.AGG_MINUTE("MCD","v")</f>
      </c>
      <c r="G112">
        <f>MASSIVE.STOCKS.AGG_MINUTE("MCD","a")</f>
      </c>
      <c r="H112">
        <f>MASSIVE.STOCKS.AGG_MINUTE("MCD","vw")</f>
      </c>
      <c r="I112">
        <f>MASSIVE.STOCKS.AGG_MINUTE("MCD","op")</f>
      </c>
      <c r="J112">
        <f>MASSIVE.STOCKS.AGG_MINUTE("MCD","av")</f>
      </c>
    </row>
    <row r="113">
      <c r="A113" t="s">
        <v>121</v>
      </c>
      <c r="B113">
        <f>MASSIVE.STOCKS.AGG_MINUTE("MCHP","o")</f>
      </c>
      <c r="C113">
        <f>MASSIVE.STOCKS.AGG_MINUTE("MCHP","h")</f>
      </c>
      <c r="D113">
        <f>MASSIVE.STOCKS.AGG_MINUTE("MCHP","l")</f>
      </c>
      <c r="E113">
        <f>MASSIVE.STOCKS.AGG_MINUTE("MCHP","c")</f>
      </c>
      <c r="F113">
        <f>MASSIVE.STOCKS.AGG_MINUTE("MCHP","v")</f>
      </c>
      <c r="G113">
        <f>MASSIVE.STOCKS.AGG_MINUTE("MCHP","a")</f>
      </c>
      <c r="H113">
        <f>MASSIVE.STOCKS.AGG_MINUTE("MCHP","vw")</f>
      </c>
      <c r="I113">
        <f>MASSIVE.STOCKS.AGG_MINUTE("MCHP","op")</f>
      </c>
      <c r="J113">
        <f>MASSIVE.STOCKS.AGG_MINUTE("MCHP","av")</f>
      </c>
    </row>
    <row r="114">
      <c r="A114" t="s">
        <v>122</v>
      </c>
      <c r="B114">
        <f>MASSIVE.STOCKS.AGG_MINUTE("MCO","o")</f>
      </c>
      <c r="C114">
        <f>MASSIVE.STOCKS.AGG_MINUTE("MCO","h")</f>
      </c>
      <c r="D114">
        <f>MASSIVE.STOCKS.AGG_MINUTE("MCO","l")</f>
      </c>
      <c r="E114">
        <f>MASSIVE.STOCKS.AGG_MINUTE("MCO","c")</f>
      </c>
      <c r="F114">
        <f>MASSIVE.STOCKS.AGG_MINUTE("MCO","v")</f>
      </c>
      <c r="G114">
        <f>MASSIVE.STOCKS.AGG_MINUTE("MCO","a")</f>
      </c>
      <c r="H114">
        <f>MASSIVE.STOCKS.AGG_MINUTE("MCO","vw")</f>
      </c>
      <c r="I114">
        <f>MASSIVE.STOCKS.AGG_MINUTE("MCO","op")</f>
      </c>
      <c r="J114">
        <f>MASSIVE.STOCKS.AGG_MINUTE("MCO","av")</f>
      </c>
    </row>
    <row r="115">
      <c r="A115" t="s">
        <v>123</v>
      </c>
      <c r="B115">
        <f>MASSIVE.STOCKS.AGG_MINUTE("MDB","o")</f>
      </c>
      <c r="C115">
        <f>MASSIVE.STOCKS.AGG_MINUTE("MDB","h")</f>
      </c>
      <c r="D115">
        <f>MASSIVE.STOCKS.AGG_MINUTE("MDB","l")</f>
      </c>
      <c r="E115">
        <f>MASSIVE.STOCKS.AGG_MINUTE("MDB","c")</f>
      </c>
      <c r="F115">
        <f>MASSIVE.STOCKS.AGG_MINUTE("MDB","v")</f>
      </c>
      <c r="G115">
        <f>MASSIVE.STOCKS.AGG_MINUTE("MDB","a")</f>
      </c>
      <c r="H115">
        <f>MASSIVE.STOCKS.AGG_MINUTE("MDB","vw")</f>
      </c>
      <c r="I115">
        <f>MASSIVE.STOCKS.AGG_MINUTE("MDB","op")</f>
      </c>
      <c r="J115">
        <f>MASSIVE.STOCKS.AGG_MINUTE("MDB","av")</f>
      </c>
    </row>
    <row r="116">
      <c r="A116" t="s">
        <v>124</v>
      </c>
      <c r="B116">
        <f>MASSIVE.STOCKS.AGG_MINUTE("MDLZ","o")</f>
      </c>
      <c r="C116">
        <f>MASSIVE.STOCKS.AGG_MINUTE("MDLZ","h")</f>
      </c>
      <c r="D116">
        <f>MASSIVE.STOCKS.AGG_MINUTE("MDLZ","l")</f>
      </c>
      <c r="E116">
        <f>MASSIVE.STOCKS.AGG_MINUTE("MDLZ","c")</f>
      </c>
      <c r="F116">
        <f>MASSIVE.STOCKS.AGG_MINUTE("MDLZ","v")</f>
      </c>
      <c r="G116">
        <f>MASSIVE.STOCKS.AGG_MINUTE("MDLZ","a")</f>
      </c>
      <c r="H116">
        <f>MASSIVE.STOCKS.AGG_MINUTE("MDLZ","vw")</f>
      </c>
      <c r="I116">
        <f>MASSIVE.STOCKS.AGG_MINUTE("MDLZ","op")</f>
      </c>
      <c r="J116">
        <f>MASSIVE.STOCKS.AGG_MINUTE("MDLZ","av")</f>
      </c>
    </row>
    <row r="117">
      <c r="A117" t="s">
        <v>125</v>
      </c>
      <c r="B117">
        <f>MASSIVE.STOCKS.AGG_MINUTE("MELI","o")</f>
      </c>
      <c r="C117">
        <f>MASSIVE.STOCKS.AGG_MINUTE("MELI","h")</f>
      </c>
      <c r="D117">
        <f>MASSIVE.STOCKS.AGG_MINUTE("MELI","l")</f>
      </c>
      <c r="E117">
        <f>MASSIVE.STOCKS.AGG_MINUTE("MELI","c")</f>
      </c>
      <c r="F117">
        <f>MASSIVE.STOCKS.AGG_MINUTE("MELI","v")</f>
      </c>
      <c r="G117">
        <f>MASSIVE.STOCKS.AGG_MINUTE("MELI","a")</f>
      </c>
      <c r="H117">
        <f>MASSIVE.STOCKS.AGG_MINUTE("MELI","vw")</f>
      </c>
      <c r="I117">
        <f>MASSIVE.STOCKS.AGG_MINUTE("MELI","op")</f>
      </c>
      <c r="J117">
        <f>MASSIVE.STOCKS.AGG_MINUTE("MELI","av")</f>
      </c>
    </row>
    <row r="118">
      <c r="A118" t="s">
        <v>126</v>
      </c>
      <c r="B118">
        <f>MASSIVE.STOCKS.AGG_MINUTE("META","o")</f>
      </c>
      <c r="C118">
        <f>MASSIVE.STOCKS.AGG_MINUTE("META","h")</f>
      </c>
      <c r="D118">
        <f>MASSIVE.STOCKS.AGG_MINUTE("META","l")</f>
      </c>
      <c r="E118">
        <f>MASSIVE.STOCKS.AGG_MINUTE("META","c")</f>
      </c>
      <c r="F118">
        <f>MASSIVE.STOCKS.AGG_MINUTE("META","v")</f>
      </c>
      <c r="G118">
        <f>MASSIVE.STOCKS.AGG_MINUTE("META","a")</f>
      </c>
      <c r="H118">
        <f>MASSIVE.STOCKS.AGG_MINUTE("META","vw")</f>
      </c>
      <c r="I118">
        <f>MASSIVE.STOCKS.AGG_MINUTE("META","op")</f>
      </c>
      <c r="J118">
        <f>MASSIVE.STOCKS.AGG_MINUTE("META","av")</f>
      </c>
    </row>
    <row r="119">
      <c r="A119" t="s">
        <v>127</v>
      </c>
      <c r="B119">
        <f>MASSIVE.STOCKS.AGG_MINUTE("MLM","o")</f>
      </c>
      <c r="C119">
        <f>MASSIVE.STOCKS.AGG_MINUTE("MLM","h")</f>
      </c>
      <c r="D119">
        <f>MASSIVE.STOCKS.AGG_MINUTE("MLM","l")</f>
      </c>
      <c r="E119">
        <f>MASSIVE.STOCKS.AGG_MINUTE("MLM","c")</f>
      </c>
      <c r="F119">
        <f>MASSIVE.STOCKS.AGG_MINUTE("MLM","v")</f>
      </c>
      <c r="G119">
        <f>MASSIVE.STOCKS.AGG_MINUTE("MLM","a")</f>
      </c>
      <c r="H119">
        <f>MASSIVE.STOCKS.AGG_MINUTE("MLM","vw")</f>
      </c>
      <c r="I119">
        <f>MASSIVE.STOCKS.AGG_MINUTE("MLM","op")</f>
      </c>
      <c r="J119">
        <f>MASSIVE.STOCKS.AGG_MINUTE("MLM","av")</f>
      </c>
    </row>
    <row r="120">
      <c r="A120" t="s">
        <v>128</v>
      </c>
      <c r="B120">
        <f>MASSIVE.STOCKS.AGG_MINUTE("MNST","o")</f>
      </c>
      <c r="C120">
        <f>MASSIVE.STOCKS.AGG_MINUTE("MNST","h")</f>
      </c>
      <c r="D120">
        <f>MASSIVE.STOCKS.AGG_MINUTE("MNST","l")</f>
      </c>
      <c r="E120">
        <f>MASSIVE.STOCKS.AGG_MINUTE("MNST","c")</f>
      </c>
      <c r="F120">
        <f>MASSIVE.STOCKS.AGG_MINUTE("MNST","v")</f>
      </c>
      <c r="G120">
        <f>MASSIVE.STOCKS.AGG_MINUTE("MNST","a")</f>
      </c>
      <c r="H120">
        <f>MASSIVE.STOCKS.AGG_MINUTE("MNST","vw")</f>
      </c>
      <c r="I120">
        <f>MASSIVE.STOCKS.AGG_MINUTE("MNST","op")</f>
      </c>
      <c r="J120">
        <f>MASSIVE.STOCKS.AGG_MINUTE("MNST","av")</f>
      </c>
    </row>
    <row r="121">
      <c r="A121" t="s">
        <v>129</v>
      </c>
      <c r="B121">
        <f>MASSIVE.STOCKS.AGG_MINUTE("MO","o")</f>
      </c>
      <c r="C121">
        <f>MASSIVE.STOCKS.AGG_MINUTE("MO","h")</f>
      </c>
      <c r="D121">
        <f>MASSIVE.STOCKS.AGG_MINUTE("MO","l")</f>
      </c>
      <c r="E121">
        <f>MASSIVE.STOCKS.AGG_MINUTE("MO","c")</f>
      </c>
      <c r="F121">
        <f>MASSIVE.STOCKS.AGG_MINUTE("MO","v")</f>
      </c>
      <c r="G121">
        <f>MASSIVE.STOCKS.AGG_MINUTE("MO","a")</f>
      </c>
      <c r="H121">
        <f>MASSIVE.STOCKS.AGG_MINUTE("MO","vw")</f>
      </c>
      <c r="I121">
        <f>MASSIVE.STOCKS.AGG_MINUTE("MO","op")</f>
      </c>
      <c r="J121">
        <f>MASSIVE.STOCKS.AGG_MINUTE("MO","av")</f>
      </c>
    </row>
    <row r="122">
      <c r="A122" t="s">
        <v>130</v>
      </c>
      <c r="B122">
        <f>MASSIVE.STOCKS.AGG_MINUTE("MPC","o")</f>
      </c>
      <c r="C122">
        <f>MASSIVE.STOCKS.AGG_MINUTE("MPC","h")</f>
      </c>
      <c r="D122">
        <f>MASSIVE.STOCKS.AGG_MINUTE("MPC","l")</f>
      </c>
      <c r="E122">
        <f>MASSIVE.STOCKS.AGG_MINUTE("MPC","c")</f>
      </c>
      <c r="F122">
        <f>MASSIVE.STOCKS.AGG_MINUTE("MPC","v")</f>
      </c>
      <c r="G122">
        <f>MASSIVE.STOCKS.AGG_MINUTE("MPC","a")</f>
      </c>
      <c r="H122">
        <f>MASSIVE.STOCKS.AGG_MINUTE("MPC","vw")</f>
      </c>
      <c r="I122">
        <f>MASSIVE.STOCKS.AGG_MINUTE("MPC","op")</f>
      </c>
      <c r="J122">
        <f>MASSIVE.STOCKS.AGG_MINUTE("MPC","av")</f>
      </c>
    </row>
    <row r="123">
      <c r="A123" t="s">
        <v>131</v>
      </c>
      <c r="B123">
        <f>MASSIVE.STOCKS.AGG_MINUTE("MRK","o")</f>
      </c>
      <c r="C123">
        <f>MASSIVE.STOCKS.AGG_MINUTE("MRK","h")</f>
      </c>
      <c r="D123">
        <f>MASSIVE.STOCKS.AGG_MINUTE("MRK","l")</f>
      </c>
      <c r="E123">
        <f>MASSIVE.STOCKS.AGG_MINUTE("MRK","c")</f>
      </c>
      <c r="F123">
        <f>MASSIVE.STOCKS.AGG_MINUTE("MRK","v")</f>
      </c>
      <c r="G123">
        <f>MASSIVE.STOCKS.AGG_MINUTE("MRK","a")</f>
      </c>
      <c r="H123">
        <f>MASSIVE.STOCKS.AGG_MINUTE("MRK","vw")</f>
      </c>
      <c r="I123">
        <f>MASSIVE.STOCKS.AGG_MINUTE("MRK","op")</f>
      </c>
      <c r="J123">
        <f>MASSIVE.STOCKS.AGG_MINUTE("MRK","av")</f>
      </c>
    </row>
    <row r="124">
      <c r="A124" t="s">
        <v>132</v>
      </c>
      <c r="B124">
        <f>MASSIVE.STOCKS.AGG_MINUTE("MRVL","o")</f>
      </c>
      <c r="C124">
        <f>MASSIVE.STOCKS.AGG_MINUTE("MRVL","h")</f>
      </c>
      <c r="D124">
        <f>MASSIVE.STOCKS.AGG_MINUTE("MRVL","l")</f>
      </c>
      <c r="E124">
        <f>MASSIVE.STOCKS.AGG_MINUTE("MRVL","c")</f>
      </c>
      <c r="F124">
        <f>MASSIVE.STOCKS.AGG_MINUTE("MRVL","v")</f>
      </c>
      <c r="G124">
        <f>MASSIVE.STOCKS.AGG_MINUTE("MRVL","a")</f>
      </c>
      <c r="H124">
        <f>MASSIVE.STOCKS.AGG_MINUTE("MRVL","vw")</f>
      </c>
      <c r="I124">
        <f>MASSIVE.STOCKS.AGG_MINUTE("MRVL","op")</f>
      </c>
      <c r="J124">
        <f>MASSIVE.STOCKS.AGG_MINUTE("MRVL","av")</f>
      </c>
    </row>
    <row r="125">
      <c r="A125" t="s">
        <v>133</v>
      </c>
      <c r="B125">
        <f>MASSIVE.STOCKS.AGG_MINUTE("MSCI","o")</f>
      </c>
      <c r="C125">
        <f>MASSIVE.STOCKS.AGG_MINUTE("MSCI","h")</f>
      </c>
      <c r="D125">
        <f>MASSIVE.STOCKS.AGG_MINUTE("MSCI","l")</f>
      </c>
      <c r="E125">
        <f>MASSIVE.STOCKS.AGG_MINUTE("MSCI","c")</f>
      </c>
      <c r="F125">
        <f>MASSIVE.STOCKS.AGG_MINUTE("MSCI","v")</f>
      </c>
      <c r="G125">
        <f>MASSIVE.STOCKS.AGG_MINUTE("MSCI","a")</f>
      </c>
      <c r="H125">
        <f>MASSIVE.STOCKS.AGG_MINUTE("MSCI","vw")</f>
      </c>
      <c r="I125">
        <f>MASSIVE.STOCKS.AGG_MINUTE("MSCI","op")</f>
      </c>
      <c r="J125">
        <f>MASSIVE.STOCKS.AGG_MINUTE("MSCI","av")</f>
      </c>
    </row>
    <row r="126">
      <c r="A126" t="s">
        <v>134</v>
      </c>
      <c r="B126">
        <f>MASSIVE.STOCKS.AGG_MINUTE("MSFT","o")</f>
      </c>
      <c r="C126">
        <f>MASSIVE.STOCKS.AGG_MINUTE("MSFT","h")</f>
      </c>
      <c r="D126">
        <f>MASSIVE.STOCKS.AGG_MINUTE("MSFT","l")</f>
      </c>
      <c r="E126">
        <f>MASSIVE.STOCKS.AGG_MINUTE("MSFT","c")</f>
      </c>
      <c r="F126">
        <f>MASSIVE.STOCKS.AGG_MINUTE("MSFT","v")</f>
      </c>
      <c r="G126">
        <f>MASSIVE.STOCKS.AGG_MINUTE("MSFT","a")</f>
      </c>
      <c r="H126">
        <f>MASSIVE.STOCKS.AGG_MINUTE("MSFT","vw")</f>
      </c>
      <c r="I126">
        <f>MASSIVE.STOCKS.AGG_MINUTE("MSFT","op")</f>
      </c>
      <c r="J126">
        <f>MASSIVE.STOCKS.AGG_MINUTE("MSFT","av")</f>
      </c>
    </row>
    <row r="127">
      <c r="A127" t="s">
        <v>135</v>
      </c>
      <c r="B127">
        <f>MASSIVE.STOCKS.AGG_MINUTE("MSI","o")</f>
      </c>
      <c r="C127">
        <f>MASSIVE.STOCKS.AGG_MINUTE("MSI","h")</f>
      </c>
      <c r="D127">
        <f>MASSIVE.STOCKS.AGG_MINUTE("MSI","l")</f>
      </c>
      <c r="E127">
        <f>MASSIVE.STOCKS.AGG_MINUTE("MSI","c")</f>
      </c>
      <c r="F127">
        <f>MASSIVE.STOCKS.AGG_MINUTE("MSI","v")</f>
      </c>
      <c r="G127">
        <f>MASSIVE.STOCKS.AGG_MINUTE("MSI","a")</f>
      </c>
      <c r="H127">
        <f>MASSIVE.STOCKS.AGG_MINUTE("MSI","vw")</f>
      </c>
      <c r="I127">
        <f>MASSIVE.STOCKS.AGG_MINUTE("MSI","op")</f>
      </c>
      <c r="J127">
        <f>MASSIVE.STOCKS.AGG_MINUTE("MSI","av")</f>
      </c>
    </row>
    <row r="128">
      <c r="A128" t="s">
        <v>136</v>
      </c>
      <c r="B128">
        <f>MASSIVE.STOCKS.AGG_MINUTE("MTD","o")</f>
      </c>
      <c r="C128">
        <f>MASSIVE.STOCKS.AGG_MINUTE("MTD","h")</f>
      </c>
      <c r="D128">
        <f>MASSIVE.STOCKS.AGG_MINUTE("MTD","l")</f>
      </c>
      <c r="E128">
        <f>MASSIVE.STOCKS.AGG_MINUTE("MTD","c")</f>
      </c>
      <c r="F128">
        <f>MASSIVE.STOCKS.AGG_MINUTE("MTD","v")</f>
      </c>
      <c r="G128">
        <f>MASSIVE.STOCKS.AGG_MINUTE("MTD","a")</f>
      </c>
      <c r="H128">
        <f>MASSIVE.STOCKS.AGG_MINUTE("MTD","vw")</f>
      </c>
      <c r="I128">
        <f>MASSIVE.STOCKS.AGG_MINUTE("MTD","op")</f>
      </c>
      <c r="J128">
        <f>MASSIVE.STOCKS.AGG_MINUTE("MTD","av")</f>
      </c>
    </row>
    <row r="129">
      <c r="A129" t="s">
        <v>137</v>
      </c>
      <c r="B129">
        <f>MASSIVE.STOCKS.AGG_MINUTE("MU","o")</f>
      </c>
      <c r="C129">
        <f>MASSIVE.STOCKS.AGG_MINUTE("MU","h")</f>
      </c>
      <c r="D129">
        <f>MASSIVE.STOCKS.AGG_MINUTE("MU","l")</f>
      </c>
      <c r="E129">
        <f>MASSIVE.STOCKS.AGG_MINUTE("MU","c")</f>
      </c>
      <c r="F129">
        <f>MASSIVE.STOCKS.AGG_MINUTE("MU","v")</f>
      </c>
      <c r="G129">
        <f>MASSIVE.STOCKS.AGG_MINUTE("MU","a")</f>
      </c>
      <c r="H129">
        <f>MASSIVE.STOCKS.AGG_MINUTE("MU","vw")</f>
      </c>
      <c r="I129">
        <f>MASSIVE.STOCKS.AGG_MINUTE("MU","op")</f>
      </c>
      <c r="J129">
        <f>MASSIVE.STOCKS.AGG_MINUTE("MU","av")</f>
      </c>
    </row>
    <row r="130">
      <c r="A130" t="s">
        <v>138</v>
      </c>
      <c r="B130">
        <f>MASSIVE.STOCKS.AGG_MINUTE("NDAQ","o")</f>
      </c>
      <c r="C130">
        <f>MASSIVE.STOCKS.AGG_MINUTE("NDAQ","h")</f>
      </c>
      <c r="D130">
        <f>MASSIVE.STOCKS.AGG_MINUTE("NDAQ","l")</f>
      </c>
      <c r="E130">
        <f>MASSIVE.STOCKS.AGG_MINUTE("NDAQ","c")</f>
      </c>
      <c r="F130">
        <f>MASSIVE.STOCKS.AGG_MINUTE("NDAQ","v")</f>
      </c>
      <c r="G130">
        <f>MASSIVE.STOCKS.AGG_MINUTE("NDAQ","a")</f>
      </c>
      <c r="H130">
        <f>MASSIVE.STOCKS.AGG_MINUTE("NDAQ","vw")</f>
      </c>
      <c r="I130">
        <f>MASSIVE.STOCKS.AGG_MINUTE("NDAQ","op")</f>
      </c>
      <c r="J130">
        <f>MASSIVE.STOCKS.AGG_MINUTE("NDAQ","av")</f>
      </c>
    </row>
    <row r="131">
      <c r="A131" t="s">
        <v>139</v>
      </c>
      <c r="B131">
        <f>MASSIVE.STOCKS.AGG_MINUTE("NEM","o")</f>
      </c>
      <c r="C131">
        <f>MASSIVE.STOCKS.AGG_MINUTE("NEM","h")</f>
      </c>
      <c r="D131">
        <f>MASSIVE.STOCKS.AGG_MINUTE("NEM","l")</f>
      </c>
      <c r="E131">
        <f>MASSIVE.STOCKS.AGG_MINUTE("NEM","c")</f>
      </c>
      <c r="F131">
        <f>MASSIVE.STOCKS.AGG_MINUTE("NEM","v")</f>
      </c>
      <c r="G131">
        <f>MASSIVE.STOCKS.AGG_MINUTE("NEM","a")</f>
      </c>
      <c r="H131">
        <f>MASSIVE.STOCKS.AGG_MINUTE("NEM","vw")</f>
      </c>
      <c r="I131">
        <f>MASSIVE.STOCKS.AGG_MINUTE("NEM","op")</f>
      </c>
      <c r="J131">
        <f>MASSIVE.STOCKS.AGG_MINUTE("NEM","av")</f>
      </c>
    </row>
    <row r="132">
      <c r="A132" t="s">
        <v>140</v>
      </c>
      <c r="B132">
        <f>MASSIVE.STOCKS.AGG_MINUTE("NET","o")</f>
      </c>
      <c r="C132">
        <f>MASSIVE.STOCKS.AGG_MINUTE("NET","h")</f>
      </c>
      <c r="D132">
        <f>MASSIVE.STOCKS.AGG_MINUTE("NET","l")</f>
      </c>
      <c r="E132">
        <f>MASSIVE.STOCKS.AGG_MINUTE("NET","c")</f>
      </c>
      <c r="F132">
        <f>MASSIVE.STOCKS.AGG_MINUTE("NET","v")</f>
      </c>
      <c r="G132">
        <f>MASSIVE.STOCKS.AGG_MINUTE("NET","a")</f>
      </c>
      <c r="H132">
        <f>MASSIVE.STOCKS.AGG_MINUTE("NET","vw")</f>
      </c>
      <c r="I132">
        <f>MASSIVE.STOCKS.AGG_MINUTE("NET","op")</f>
      </c>
      <c r="J132">
        <f>MASSIVE.STOCKS.AGG_MINUTE("NET","av")</f>
      </c>
    </row>
    <row r="133">
      <c r="A133" t="s">
        <v>141</v>
      </c>
      <c r="B133">
        <f>MASSIVE.STOCKS.AGG_MINUTE("NFLX","o")</f>
      </c>
      <c r="C133">
        <f>MASSIVE.STOCKS.AGG_MINUTE("NFLX","h")</f>
      </c>
      <c r="D133">
        <f>MASSIVE.STOCKS.AGG_MINUTE("NFLX","l")</f>
      </c>
      <c r="E133">
        <f>MASSIVE.STOCKS.AGG_MINUTE("NFLX","c")</f>
      </c>
      <c r="F133">
        <f>MASSIVE.STOCKS.AGG_MINUTE("NFLX","v")</f>
      </c>
      <c r="G133">
        <f>MASSIVE.STOCKS.AGG_MINUTE("NFLX","a")</f>
      </c>
      <c r="H133">
        <f>MASSIVE.STOCKS.AGG_MINUTE("NFLX","vw")</f>
      </c>
      <c r="I133">
        <f>MASSIVE.STOCKS.AGG_MINUTE("NFLX","op")</f>
      </c>
      <c r="J133">
        <f>MASSIVE.STOCKS.AGG_MINUTE("NFLX","av")</f>
      </c>
    </row>
    <row r="134">
      <c r="A134" t="s">
        <v>142</v>
      </c>
      <c r="B134">
        <f>MASSIVE.STOCKS.AGG_MINUTE("NOC","o")</f>
      </c>
      <c r="C134">
        <f>MASSIVE.STOCKS.AGG_MINUTE("NOC","h")</f>
      </c>
      <c r="D134">
        <f>MASSIVE.STOCKS.AGG_MINUTE("NOC","l")</f>
      </c>
      <c r="E134">
        <f>MASSIVE.STOCKS.AGG_MINUTE("NOC","c")</f>
      </c>
      <c r="F134">
        <f>MASSIVE.STOCKS.AGG_MINUTE("NOC","v")</f>
      </c>
      <c r="G134">
        <f>MASSIVE.STOCKS.AGG_MINUTE("NOC","a")</f>
      </c>
      <c r="H134">
        <f>MASSIVE.STOCKS.AGG_MINUTE("NOC","vw")</f>
      </c>
      <c r="I134">
        <f>MASSIVE.STOCKS.AGG_MINUTE("NOC","op")</f>
      </c>
      <c r="J134">
        <f>MASSIVE.STOCKS.AGG_MINUTE("NOC","av")</f>
      </c>
    </row>
    <row r="135">
      <c r="A135" t="s">
        <v>143</v>
      </c>
      <c r="B135">
        <f>MASSIVE.STOCKS.AGG_MINUTE("NOW","o")</f>
      </c>
      <c r="C135">
        <f>MASSIVE.STOCKS.AGG_MINUTE("NOW","h")</f>
      </c>
      <c r="D135">
        <f>MASSIVE.STOCKS.AGG_MINUTE("NOW","l")</f>
      </c>
      <c r="E135">
        <f>MASSIVE.STOCKS.AGG_MINUTE("NOW","c")</f>
      </c>
      <c r="F135">
        <f>MASSIVE.STOCKS.AGG_MINUTE("NOW","v")</f>
      </c>
      <c r="G135">
        <f>MASSIVE.STOCKS.AGG_MINUTE("NOW","a")</f>
      </c>
      <c r="H135">
        <f>MASSIVE.STOCKS.AGG_MINUTE("NOW","vw")</f>
      </c>
      <c r="I135">
        <f>MASSIVE.STOCKS.AGG_MINUTE("NOW","op")</f>
      </c>
      <c r="J135">
        <f>MASSIVE.STOCKS.AGG_MINUTE("NOW","av")</f>
      </c>
    </row>
    <row r="136">
      <c r="A136" t="s">
        <v>144</v>
      </c>
      <c r="B136">
        <f>MASSIVE.STOCKS.AGG_MINUTE("NSC","o")</f>
      </c>
      <c r="C136">
        <f>MASSIVE.STOCKS.AGG_MINUTE("NSC","h")</f>
      </c>
      <c r="D136">
        <f>MASSIVE.STOCKS.AGG_MINUTE("NSC","l")</f>
      </c>
      <c r="E136">
        <f>MASSIVE.STOCKS.AGG_MINUTE("NSC","c")</f>
      </c>
      <c r="F136">
        <f>MASSIVE.STOCKS.AGG_MINUTE("NSC","v")</f>
      </c>
      <c r="G136">
        <f>MASSIVE.STOCKS.AGG_MINUTE("NSC","a")</f>
      </c>
      <c r="H136">
        <f>MASSIVE.STOCKS.AGG_MINUTE("NSC","vw")</f>
      </c>
      <c r="I136">
        <f>MASSIVE.STOCKS.AGG_MINUTE("NSC","op")</f>
      </c>
      <c r="J136">
        <f>MASSIVE.STOCKS.AGG_MINUTE("NSC","av")</f>
      </c>
    </row>
    <row r="137">
      <c r="A137" t="s">
        <v>145</v>
      </c>
      <c r="B137">
        <f>MASSIVE.STOCKS.AGG_MINUTE("NVDA","o")</f>
      </c>
      <c r="C137">
        <f>MASSIVE.STOCKS.AGG_MINUTE("NVDA","h")</f>
      </c>
      <c r="D137">
        <f>MASSIVE.STOCKS.AGG_MINUTE("NVDA","l")</f>
      </c>
      <c r="E137">
        <f>MASSIVE.STOCKS.AGG_MINUTE("NVDA","c")</f>
      </c>
      <c r="F137">
        <f>MASSIVE.STOCKS.AGG_MINUTE("NVDA","v")</f>
      </c>
      <c r="G137">
        <f>MASSIVE.STOCKS.AGG_MINUTE("NVDA","a")</f>
      </c>
      <c r="H137">
        <f>MASSIVE.STOCKS.AGG_MINUTE("NVDA","vw")</f>
      </c>
      <c r="I137">
        <f>MASSIVE.STOCKS.AGG_MINUTE("NVDA","op")</f>
      </c>
      <c r="J137">
        <f>MASSIVE.STOCKS.AGG_MINUTE("NVDA","av")</f>
      </c>
    </row>
    <row r="138">
      <c r="A138" t="s">
        <v>146</v>
      </c>
      <c r="B138">
        <f>MASSIVE.STOCKS.AGG_MINUTE("O","o")</f>
      </c>
      <c r="C138">
        <f>MASSIVE.STOCKS.AGG_MINUTE("O","h")</f>
      </c>
      <c r="D138">
        <f>MASSIVE.STOCKS.AGG_MINUTE("O","l")</f>
      </c>
      <c r="E138">
        <f>MASSIVE.STOCKS.AGG_MINUTE("O","c")</f>
      </c>
      <c r="F138">
        <f>MASSIVE.STOCKS.AGG_MINUTE("O","v")</f>
      </c>
      <c r="G138">
        <f>MASSIVE.STOCKS.AGG_MINUTE("O","a")</f>
      </c>
      <c r="H138">
        <f>MASSIVE.STOCKS.AGG_MINUTE("O","vw")</f>
      </c>
      <c r="I138">
        <f>MASSIVE.STOCKS.AGG_MINUTE("O","op")</f>
      </c>
      <c r="J138">
        <f>MASSIVE.STOCKS.AGG_MINUTE("O","av")</f>
      </c>
    </row>
    <row r="139">
      <c r="A139" t="s">
        <v>147</v>
      </c>
      <c r="B139">
        <f>MASSIVE.STOCKS.AGG_MINUTE("ODFL","o")</f>
      </c>
      <c r="C139">
        <f>MASSIVE.STOCKS.AGG_MINUTE("ODFL","h")</f>
      </c>
      <c r="D139">
        <f>MASSIVE.STOCKS.AGG_MINUTE("ODFL","l")</f>
      </c>
      <c r="E139">
        <f>MASSIVE.STOCKS.AGG_MINUTE("ODFL","c")</f>
      </c>
      <c r="F139">
        <f>MASSIVE.STOCKS.AGG_MINUTE("ODFL","v")</f>
      </c>
      <c r="G139">
        <f>MASSIVE.STOCKS.AGG_MINUTE("ODFL","a")</f>
      </c>
      <c r="H139">
        <f>MASSIVE.STOCKS.AGG_MINUTE("ODFL","vw")</f>
      </c>
      <c r="I139">
        <f>MASSIVE.STOCKS.AGG_MINUTE("ODFL","op")</f>
      </c>
      <c r="J139">
        <f>MASSIVE.STOCKS.AGG_MINUTE("ODFL","av")</f>
      </c>
    </row>
    <row r="140">
      <c r="A140" t="s">
        <v>148</v>
      </c>
      <c r="B140">
        <f>MASSIVE.STOCKS.AGG_MINUTE("OKE","o")</f>
      </c>
      <c r="C140">
        <f>MASSIVE.STOCKS.AGG_MINUTE("OKE","h")</f>
      </c>
      <c r="D140">
        <f>MASSIVE.STOCKS.AGG_MINUTE("OKE","l")</f>
      </c>
      <c r="E140">
        <f>MASSIVE.STOCKS.AGG_MINUTE("OKE","c")</f>
      </c>
      <c r="F140">
        <f>MASSIVE.STOCKS.AGG_MINUTE("OKE","v")</f>
      </c>
      <c r="G140">
        <f>MASSIVE.STOCKS.AGG_MINUTE("OKE","a")</f>
      </c>
      <c r="H140">
        <f>MASSIVE.STOCKS.AGG_MINUTE("OKE","vw")</f>
      </c>
      <c r="I140">
        <f>MASSIVE.STOCKS.AGG_MINUTE("OKE","op")</f>
      </c>
      <c r="J140">
        <f>MASSIVE.STOCKS.AGG_MINUTE("OKE","av")</f>
      </c>
    </row>
    <row r="141">
      <c r="A141" t="s">
        <v>149</v>
      </c>
      <c r="B141">
        <f>MASSIVE.STOCKS.AGG_MINUTE("ON","o")</f>
      </c>
      <c r="C141">
        <f>MASSIVE.STOCKS.AGG_MINUTE("ON","h")</f>
      </c>
      <c r="D141">
        <f>MASSIVE.STOCKS.AGG_MINUTE("ON","l")</f>
      </c>
      <c r="E141">
        <f>MASSIVE.STOCKS.AGG_MINUTE("ON","c")</f>
      </c>
      <c r="F141">
        <f>MASSIVE.STOCKS.AGG_MINUTE("ON","v")</f>
      </c>
      <c r="G141">
        <f>MASSIVE.STOCKS.AGG_MINUTE("ON","a")</f>
      </c>
      <c r="H141">
        <f>MASSIVE.STOCKS.AGG_MINUTE("ON","vw")</f>
      </c>
      <c r="I141">
        <f>MASSIVE.STOCKS.AGG_MINUTE("ON","op")</f>
      </c>
      <c r="J141">
        <f>MASSIVE.STOCKS.AGG_MINUTE("ON","av")</f>
      </c>
    </row>
    <row r="142">
      <c r="A142" t="s">
        <v>150</v>
      </c>
      <c r="B142">
        <f>MASSIVE.STOCKS.AGG_MINUTE("ORCL","o")</f>
      </c>
      <c r="C142">
        <f>MASSIVE.STOCKS.AGG_MINUTE("ORCL","h")</f>
      </c>
      <c r="D142">
        <f>MASSIVE.STOCKS.AGG_MINUTE("ORCL","l")</f>
      </c>
      <c r="E142">
        <f>MASSIVE.STOCKS.AGG_MINUTE("ORCL","c")</f>
      </c>
      <c r="F142">
        <f>MASSIVE.STOCKS.AGG_MINUTE("ORCL","v")</f>
      </c>
      <c r="G142">
        <f>MASSIVE.STOCKS.AGG_MINUTE("ORCL","a")</f>
      </c>
      <c r="H142">
        <f>MASSIVE.STOCKS.AGG_MINUTE("ORCL","vw")</f>
      </c>
      <c r="I142">
        <f>MASSIVE.STOCKS.AGG_MINUTE("ORCL","op")</f>
      </c>
      <c r="J142">
        <f>MASSIVE.STOCKS.AGG_MINUTE("ORCL","av")</f>
      </c>
    </row>
    <row r="143">
      <c r="A143" t="s">
        <v>151</v>
      </c>
      <c r="B143">
        <f>MASSIVE.STOCKS.AGG_MINUTE("ORLY","o")</f>
      </c>
      <c r="C143">
        <f>MASSIVE.STOCKS.AGG_MINUTE("ORLY","h")</f>
      </c>
      <c r="D143">
        <f>MASSIVE.STOCKS.AGG_MINUTE("ORLY","l")</f>
      </c>
      <c r="E143">
        <f>MASSIVE.STOCKS.AGG_MINUTE("ORLY","c")</f>
      </c>
      <c r="F143">
        <f>MASSIVE.STOCKS.AGG_MINUTE("ORLY","v")</f>
      </c>
      <c r="G143">
        <f>MASSIVE.STOCKS.AGG_MINUTE("ORLY","a")</f>
      </c>
      <c r="H143">
        <f>MASSIVE.STOCKS.AGG_MINUTE("ORLY","vw")</f>
      </c>
      <c r="I143">
        <f>MASSIVE.STOCKS.AGG_MINUTE("ORLY","op")</f>
      </c>
      <c r="J143">
        <f>MASSIVE.STOCKS.AGG_MINUTE("ORLY","av")</f>
      </c>
    </row>
    <row r="144">
      <c r="A144" t="s">
        <v>152</v>
      </c>
      <c r="B144">
        <f>MASSIVE.STOCKS.AGG_MINUTE("PANW","o")</f>
      </c>
      <c r="C144">
        <f>MASSIVE.STOCKS.AGG_MINUTE("PANW","h")</f>
      </c>
      <c r="D144">
        <f>MASSIVE.STOCKS.AGG_MINUTE("PANW","l")</f>
      </c>
      <c r="E144">
        <f>MASSIVE.STOCKS.AGG_MINUTE("PANW","c")</f>
      </c>
      <c r="F144">
        <f>MASSIVE.STOCKS.AGG_MINUTE("PANW","v")</f>
      </c>
      <c r="G144">
        <f>MASSIVE.STOCKS.AGG_MINUTE("PANW","a")</f>
      </c>
      <c r="H144">
        <f>MASSIVE.STOCKS.AGG_MINUTE("PANW","vw")</f>
      </c>
      <c r="I144">
        <f>MASSIVE.STOCKS.AGG_MINUTE("PANW","op")</f>
      </c>
      <c r="J144">
        <f>MASSIVE.STOCKS.AGG_MINUTE("PANW","av")</f>
      </c>
    </row>
    <row r="145">
      <c r="A145" t="s">
        <v>153</v>
      </c>
      <c r="B145">
        <f>MASSIVE.STOCKS.AGG_MINUTE("PAYX","o")</f>
      </c>
      <c r="C145">
        <f>MASSIVE.STOCKS.AGG_MINUTE("PAYX","h")</f>
      </c>
      <c r="D145">
        <f>MASSIVE.STOCKS.AGG_MINUTE("PAYX","l")</f>
      </c>
      <c r="E145">
        <f>MASSIVE.STOCKS.AGG_MINUTE("PAYX","c")</f>
      </c>
      <c r="F145">
        <f>MASSIVE.STOCKS.AGG_MINUTE("PAYX","v")</f>
      </c>
      <c r="G145">
        <f>MASSIVE.STOCKS.AGG_MINUTE("PAYX","a")</f>
      </c>
      <c r="H145">
        <f>MASSIVE.STOCKS.AGG_MINUTE("PAYX","vw")</f>
      </c>
      <c r="I145">
        <f>MASSIVE.STOCKS.AGG_MINUTE("PAYX","op")</f>
      </c>
      <c r="J145">
        <f>MASSIVE.STOCKS.AGG_MINUTE("PAYX","av")</f>
      </c>
    </row>
    <row r="146">
      <c r="A146" t="s">
        <v>154</v>
      </c>
      <c r="B146">
        <f>MASSIVE.STOCKS.AGG_MINUTE("PEP","o")</f>
      </c>
      <c r="C146">
        <f>MASSIVE.STOCKS.AGG_MINUTE("PEP","h")</f>
      </c>
      <c r="D146">
        <f>MASSIVE.STOCKS.AGG_MINUTE("PEP","l")</f>
      </c>
      <c r="E146">
        <f>MASSIVE.STOCKS.AGG_MINUTE("PEP","c")</f>
      </c>
      <c r="F146">
        <f>MASSIVE.STOCKS.AGG_MINUTE("PEP","v")</f>
      </c>
      <c r="G146">
        <f>MASSIVE.STOCKS.AGG_MINUTE("PEP","a")</f>
      </c>
      <c r="H146">
        <f>MASSIVE.STOCKS.AGG_MINUTE("PEP","vw")</f>
      </c>
      <c r="I146">
        <f>MASSIVE.STOCKS.AGG_MINUTE("PEP","op")</f>
      </c>
      <c r="J146">
        <f>MASSIVE.STOCKS.AGG_MINUTE("PEP","av")</f>
      </c>
    </row>
    <row r="147">
      <c r="A147" t="s">
        <v>155</v>
      </c>
      <c r="B147">
        <f>MASSIVE.STOCKS.AGG_MINUTE("PFE","o")</f>
      </c>
      <c r="C147">
        <f>MASSIVE.STOCKS.AGG_MINUTE("PFE","h")</f>
      </c>
      <c r="D147">
        <f>MASSIVE.STOCKS.AGG_MINUTE("PFE","l")</f>
      </c>
      <c r="E147">
        <f>MASSIVE.STOCKS.AGG_MINUTE("PFE","c")</f>
      </c>
      <c r="F147">
        <f>MASSIVE.STOCKS.AGG_MINUTE("PFE","v")</f>
      </c>
      <c r="G147">
        <f>MASSIVE.STOCKS.AGG_MINUTE("PFE","a")</f>
      </c>
      <c r="H147">
        <f>MASSIVE.STOCKS.AGG_MINUTE("PFE","vw")</f>
      </c>
      <c r="I147">
        <f>MASSIVE.STOCKS.AGG_MINUTE("PFE","op")</f>
      </c>
      <c r="J147">
        <f>MASSIVE.STOCKS.AGG_MINUTE("PFE","av")</f>
      </c>
    </row>
    <row r="148">
      <c r="A148" t="s">
        <v>156</v>
      </c>
      <c r="B148">
        <f>MASSIVE.STOCKS.AGG_MINUTE("PG","o")</f>
      </c>
      <c r="C148">
        <f>MASSIVE.STOCKS.AGG_MINUTE("PG","h")</f>
      </c>
      <c r="D148">
        <f>MASSIVE.STOCKS.AGG_MINUTE("PG","l")</f>
      </c>
      <c r="E148">
        <f>MASSIVE.STOCKS.AGG_MINUTE("PG","c")</f>
      </c>
      <c r="F148">
        <f>MASSIVE.STOCKS.AGG_MINUTE("PG","v")</f>
      </c>
      <c r="G148">
        <f>MASSIVE.STOCKS.AGG_MINUTE("PG","a")</f>
      </c>
      <c r="H148">
        <f>MASSIVE.STOCKS.AGG_MINUTE("PG","vw")</f>
      </c>
      <c r="I148">
        <f>MASSIVE.STOCKS.AGG_MINUTE("PG","op")</f>
      </c>
      <c r="J148">
        <f>MASSIVE.STOCKS.AGG_MINUTE("PG","av")</f>
      </c>
    </row>
    <row r="149">
      <c r="A149" t="s">
        <v>157</v>
      </c>
      <c r="B149">
        <f>MASSIVE.STOCKS.AGG_MINUTE("PGR","o")</f>
      </c>
      <c r="C149">
        <f>MASSIVE.STOCKS.AGG_MINUTE("PGR","h")</f>
      </c>
      <c r="D149">
        <f>MASSIVE.STOCKS.AGG_MINUTE("PGR","l")</f>
      </c>
      <c r="E149">
        <f>MASSIVE.STOCKS.AGG_MINUTE("PGR","c")</f>
      </c>
      <c r="F149">
        <f>MASSIVE.STOCKS.AGG_MINUTE("PGR","v")</f>
      </c>
      <c r="G149">
        <f>MASSIVE.STOCKS.AGG_MINUTE("PGR","a")</f>
      </c>
      <c r="H149">
        <f>MASSIVE.STOCKS.AGG_MINUTE("PGR","vw")</f>
      </c>
      <c r="I149">
        <f>MASSIVE.STOCKS.AGG_MINUTE("PGR","op")</f>
      </c>
      <c r="J149">
        <f>MASSIVE.STOCKS.AGG_MINUTE("PGR","av")</f>
      </c>
    </row>
    <row r="150">
      <c r="A150" t="s">
        <v>158</v>
      </c>
      <c r="B150">
        <f>MASSIVE.STOCKS.AGG_MINUTE("PLD","o")</f>
      </c>
      <c r="C150">
        <f>MASSIVE.STOCKS.AGG_MINUTE("PLD","h")</f>
      </c>
      <c r="D150">
        <f>MASSIVE.STOCKS.AGG_MINUTE("PLD","l")</f>
      </c>
      <c r="E150">
        <f>MASSIVE.STOCKS.AGG_MINUTE("PLD","c")</f>
      </c>
      <c r="F150">
        <f>MASSIVE.STOCKS.AGG_MINUTE("PLD","v")</f>
      </c>
      <c r="G150">
        <f>MASSIVE.STOCKS.AGG_MINUTE("PLD","a")</f>
      </c>
      <c r="H150">
        <f>MASSIVE.STOCKS.AGG_MINUTE("PLD","vw")</f>
      </c>
      <c r="I150">
        <f>MASSIVE.STOCKS.AGG_MINUTE("PLD","op")</f>
      </c>
      <c r="J150">
        <f>MASSIVE.STOCKS.AGG_MINUTE("PLD","av")</f>
      </c>
    </row>
    <row r="151">
      <c r="A151" t="s">
        <v>159</v>
      </c>
      <c r="B151">
        <f>MASSIVE.STOCKS.AGG_MINUTE("PLTR","o")</f>
      </c>
      <c r="C151">
        <f>MASSIVE.STOCKS.AGG_MINUTE("PLTR","h")</f>
      </c>
      <c r="D151">
        <f>MASSIVE.STOCKS.AGG_MINUTE("PLTR","l")</f>
      </c>
      <c r="E151">
        <f>MASSIVE.STOCKS.AGG_MINUTE("PLTR","c")</f>
      </c>
      <c r="F151">
        <f>MASSIVE.STOCKS.AGG_MINUTE("PLTR","v")</f>
      </c>
      <c r="G151">
        <f>MASSIVE.STOCKS.AGG_MINUTE("PLTR","a")</f>
      </c>
      <c r="H151">
        <f>MASSIVE.STOCKS.AGG_MINUTE("PLTR","vw")</f>
      </c>
      <c r="I151">
        <f>MASSIVE.STOCKS.AGG_MINUTE("PLTR","op")</f>
      </c>
      <c r="J151">
        <f>MASSIVE.STOCKS.AGG_MINUTE("PLTR","av")</f>
      </c>
    </row>
  </sheetData>
</worksheet>
</file>