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Experiments/zigxll-connectors-wss/"/>
    </mc:Choice>
  </mc:AlternateContent>
  <xr:revisionPtr revIDLastSave="0" documentId="13_ncr:1_{C28A1A92-7109-144E-B0C9-32627508179D}" xr6:coauthVersionLast="47" xr6:coauthVersionMax="47" xr10:uidLastSave="{00000000-0000-0000-0000-000000000000}"/>
  <bookViews>
    <workbookView xWindow="0" yWindow="860" windowWidth="33240" windowHeight="21380" xr2:uid="{00000000-000D-0000-FFFF-FFFF00000000}"/>
  </bookViews>
  <sheets>
    <sheet name="AGG_MIN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<sst xmlns="http://schemas.openxmlformats.org/spreadsheetml/2006/main" count="156" uniqueCount="156">
  <si>
    <t>Symbol</t>
  </si>
  <si>
    <t>Open</t>
  </si>
  <si>
    <t>High</t>
  </si>
  <si>
    <t>Low</t>
  </si>
  <si>
    <t>Close</t>
  </si>
  <si>
    <t>Volume</t>
  </si>
  <si>
    <t>A</t>
  </si>
  <si>
    <t>AAL</t>
  </si>
  <si>
    <t>AAPL</t>
  </si>
  <si>
    <t>ABBV</t>
  </si>
  <si>
    <t>ABNB</t>
  </si>
  <si>
    <t>ABT</t>
  </si>
  <si>
    <t>ACGL</t>
  </si>
  <si>
    <t>ACN</t>
  </si>
  <si>
    <t>ADBE</t>
  </si>
  <si>
    <t>ADI</t>
  </si>
  <si>
    <t>ADP</t>
  </si>
  <si>
    <t>ADSK</t>
  </si>
  <si>
    <t>AEP</t>
  </si>
  <si>
    <t>AFL</t>
  </si>
  <si>
    <t>AIG</t>
  </si>
  <si>
    <t>AJG</t>
  </si>
  <si>
    <t>AMD</t>
  </si>
  <si>
    <t>AMGN</t>
  </si>
  <si>
    <t>AMT</t>
  </si>
  <si>
    <t>AMZN</t>
  </si>
  <si>
    <t>ANET</t>
  </si>
  <si>
    <t>AON</t>
  </si>
  <si>
    <t>APH</t>
  </si>
  <si>
    <t>ARM</t>
  </si>
  <si>
    <t>AVGO</t>
  </si>
  <si>
    <t>AZO</t>
  </si>
  <si>
    <t>BA</t>
  </si>
  <si>
    <t>BAC</t>
  </si>
  <si>
    <t>BDX</t>
  </si>
  <si>
    <t>BK</t>
  </si>
  <si>
    <t>BKNG</t>
  </si>
  <si>
    <t>BLK</t>
  </si>
  <si>
    <t>BMY</t>
  </si>
  <si>
    <t>CARR</t>
  </si>
  <si>
    <t>CAT</t>
  </si>
  <si>
    <t>CB</t>
  </si>
  <si>
    <t>CCI</t>
  </si>
  <si>
    <t>CDNS</t>
  </si>
  <si>
    <t>CHTR</t>
  </si>
  <si>
    <t>CI</t>
  </si>
  <si>
    <t>CL</t>
  </si>
  <si>
    <t>CME</t>
  </si>
  <si>
    <t>CMG</t>
  </si>
  <si>
    <t>COF</t>
  </si>
  <si>
    <t>COIN</t>
  </si>
  <si>
    <t>COST</t>
  </si>
  <si>
    <t>CPRT</t>
  </si>
  <si>
    <t>CRM</t>
  </si>
  <si>
    <t>CRWD</t>
  </si>
  <si>
    <t>CSCO</t>
  </si>
  <si>
    <t>CSX</t>
  </si>
  <si>
    <t>CTAS</t>
  </si>
  <si>
    <t>CTVA</t>
  </si>
  <si>
    <t>CVX</t>
  </si>
  <si>
    <t>D</t>
  </si>
  <si>
    <t>DAL</t>
  </si>
  <si>
    <t>DDOG</t>
  </si>
  <si>
    <t>DE</t>
  </si>
  <si>
    <t>DELL</t>
  </si>
  <si>
    <t>DHI</t>
  </si>
  <si>
    <t>DHR</t>
  </si>
  <si>
    <t>DLR</t>
  </si>
  <si>
    <t>DUK</t>
  </si>
  <si>
    <t>DXCM</t>
  </si>
  <si>
    <t>ECL</t>
  </si>
  <si>
    <t>EMR</t>
  </si>
  <si>
    <t>EQIX</t>
  </si>
  <si>
    <t>ETN</t>
  </si>
  <si>
    <t>EW</t>
  </si>
  <si>
    <t>EXC</t>
  </si>
  <si>
    <t>F</t>
  </si>
  <si>
    <t>FANG</t>
  </si>
  <si>
    <t>FAST</t>
  </si>
  <si>
    <t>FTNT</t>
  </si>
  <si>
    <t>GD</t>
  </si>
  <si>
    <t>GE</t>
  </si>
  <si>
    <t>GEHC</t>
  </si>
  <si>
    <t>GM</t>
  </si>
  <si>
    <t>GOOG</t>
  </si>
  <si>
    <t>GOOGL</t>
  </si>
  <si>
    <t>GS</t>
  </si>
  <si>
    <t>HCA</t>
  </si>
  <si>
    <t>HD</t>
  </si>
  <si>
    <t>HLT</t>
  </si>
  <si>
    <t>HSY</t>
  </si>
  <si>
    <t>HUBS</t>
  </si>
  <si>
    <t>IBM</t>
  </si>
  <si>
    <t>ICE</t>
  </si>
  <si>
    <t>IDXX</t>
  </si>
  <si>
    <t>INTC</t>
  </si>
  <si>
    <t>INTU</t>
  </si>
  <si>
    <t>IQV</t>
  </si>
  <si>
    <t>ISRG</t>
  </si>
  <si>
    <t>ITW</t>
  </si>
  <si>
    <t>JNJ</t>
  </si>
  <si>
    <t>JPM</t>
  </si>
  <si>
    <t>KDP</t>
  </si>
  <si>
    <t>KLAC</t>
  </si>
  <si>
    <t>KMB</t>
  </si>
  <si>
    <t>KO</t>
  </si>
  <si>
    <t>KR</t>
  </si>
  <si>
    <t>LHX</t>
  </si>
  <si>
    <t>LIN</t>
  </si>
  <si>
    <t>LLY</t>
  </si>
  <si>
    <t>LOW</t>
  </si>
  <si>
    <t>LRCX</t>
  </si>
  <si>
    <t>LULU</t>
  </si>
  <si>
    <t>LUV</t>
  </si>
  <si>
    <t>MA</t>
  </si>
  <si>
    <t>MAR</t>
  </si>
  <si>
    <t>MCD</t>
  </si>
  <si>
    <t>MCHP</t>
  </si>
  <si>
    <t>MCO</t>
  </si>
  <si>
    <t>MDB</t>
  </si>
  <si>
    <t>MDLZ</t>
  </si>
  <si>
    <t>MELI</t>
  </si>
  <si>
    <t>META</t>
  </si>
  <si>
    <t>MLM</t>
  </si>
  <si>
    <t>MNST</t>
  </si>
  <si>
    <t>MO</t>
  </si>
  <si>
    <t>MPC</t>
  </si>
  <si>
    <t>MRK</t>
  </si>
  <si>
    <t>MRVL</t>
  </si>
  <si>
    <t>MSCI</t>
  </si>
  <si>
    <t>MSFT</t>
  </si>
  <si>
    <t>MSI</t>
  </si>
  <si>
    <t>MTD</t>
  </si>
  <si>
    <t>MU</t>
  </si>
  <si>
    <t>NDAQ</t>
  </si>
  <si>
    <t>NEM</t>
  </si>
  <si>
    <t>NET</t>
  </si>
  <si>
    <t>NFLX</t>
  </si>
  <si>
    <t>NOC</t>
  </si>
  <si>
    <t>NOW</t>
  </si>
  <si>
    <t>NSC</t>
  </si>
  <si>
    <t>NVDA</t>
  </si>
  <si>
    <t>O</t>
  </si>
  <si>
    <t>ODFL</t>
  </si>
  <si>
    <t>OKE</t>
  </si>
  <si>
    <t>ON</t>
  </si>
  <si>
    <t>ORCL</t>
  </si>
  <si>
    <t>ORLY</t>
  </si>
  <si>
    <t>PANW</t>
  </si>
  <si>
    <t>PAYX</t>
  </si>
  <si>
    <t>PEP</t>
  </si>
  <si>
    <t>PFE</t>
  </si>
  <si>
    <t>PG</t>
  </si>
  <si>
    <t>PGR</t>
  </si>
  <si>
    <t>PLD</t>
  </si>
  <si>
    <t>PLTR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</si>
</sst>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D7" sqref="D7"/>
    </sheetView>
  </sheetViews>
  <sheetFormatPr baseColWidth="10" defaultRowHeight="16" x14ac:dyDescent="0.2"/>
  <cols>
    <col min="1" max="1" width="10" bestFit="1" customWidth="1"/>
    <col min="2" max="6" width="18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e">
        <f ca="1">MASSIVE.STOCKS.AGG_MINUTE("A","o")</f>
        <v>#NAME?</v>
      </c>
      <c r="C2" t="e">
        <f ca="1">MASSIVE.STOCKS.AGG_MINUTE("A","h")</f>
        <v>#NAME?</v>
      </c>
      <c r="D2" t="e">
        <f ca="1">MASSIVE.STOCKS.AGG_MINUTE("A","l")</f>
        <v>#NAME?</v>
      </c>
      <c r="E2" t="e">
        <f ca="1">MASSIVE.STOCKS.AGG_MINUTE("A","c")</f>
        <v>#NAME?</v>
      </c>
      <c r="F2" t="e">
        <f ca="1">MASSIVE.STOCKS.AGG_MINUTE("A","v")</f>
        <v>#NAME?</v>
      </c>
    </row>
    <row r="3" spans="1:6" x14ac:dyDescent="0.2">
      <c r="A3" t="s">
        <v>7</v>
      </c>
      <c r="B3" t="e">
        <f ca="1">MASSIVE.STOCKS.AGG_MINUTE("AAL","o")</f>
        <v>#NAME?</v>
      </c>
      <c r="C3" t="e">
        <f ca="1">MASSIVE.STOCKS.AGG_MINUTE("AAL","h")</f>
        <v>#NAME?</v>
      </c>
      <c r="D3" t="e">
        <f ca="1">MASSIVE.STOCKS.AGG_MINUTE("AAL","l")</f>
        <v>#NAME?</v>
      </c>
      <c r="E3" t="e">
        <f ca="1">MASSIVE.STOCKS.AGG_MINUTE("AAL","c")</f>
        <v>#NAME?</v>
      </c>
      <c r="F3" t="e">
        <f ca="1">MASSIVE.STOCKS.AGG_MINUTE("AAL","v")</f>
        <v>#NAME?</v>
      </c>
    </row>
    <row r="4" spans="1:6" x14ac:dyDescent="0.2">
      <c r="A4" t="s">
        <v>8</v>
      </c>
      <c r="B4" t="e">
        <f ca="1">MASSIVE.STOCKS.AGG_MINUTE("AAPL","o")</f>
        <v>#NAME?</v>
      </c>
      <c r="C4" t="e">
        <f ca="1">MASSIVE.STOCKS.AGG_MINUTE("AAPL","h")</f>
        <v>#NAME?</v>
      </c>
      <c r="D4" t="e">
        <f ca="1">MASSIVE.STOCKS.AGG_MINUTE("AAPL","l")</f>
        <v>#NAME?</v>
      </c>
      <c r="E4" t="e">
        <f ca="1">MASSIVE.STOCKS.AGG_MINUTE("AAPL","c")</f>
        <v>#NAME?</v>
      </c>
      <c r="F4" t="e">
        <f ca="1">MASSIVE.STOCKS.AGG_MINUTE("AAPL","v")</f>
        <v>#NAME?</v>
      </c>
    </row>
    <row r="5" spans="1:6" x14ac:dyDescent="0.2">
      <c r="A5" t="s">
        <v>9</v>
      </c>
      <c r="B5" t="e">
        <f ca="1">MASSIVE.STOCKS.AGG_MINUTE("ABBV","o")</f>
        <v>#NAME?</v>
      </c>
      <c r="C5" t="e">
        <f ca="1">MASSIVE.STOCKS.AGG_MINUTE("ABBV","h")</f>
        <v>#NAME?</v>
      </c>
      <c r="D5" t="e">
        <f ca="1">MASSIVE.STOCKS.AGG_MINUTE("ABBV","l")</f>
        <v>#NAME?</v>
      </c>
      <c r="E5" t="e">
        <f ca="1">MASSIVE.STOCKS.AGG_MINUTE("ABBV","c")</f>
        <v>#NAME?</v>
      </c>
      <c r="F5" t="e">
        <f ca="1">MASSIVE.STOCKS.AGG_MINUTE("ABBV","v")</f>
        <v>#NAME?</v>
      </c>
    </row>
    <row r="6" spans="1:6" x14ac:dyDescent="0.2">
      <c r="A6" t="s">
        <v>10</v>
      </c>
      <c r="B6" t="e">
        <f ca="1">MASSIVE.STOCKS.AGG_MINUTE("ABNB","o")</f>
        <v>#NAME?</v>
      </c>
      <c r="C6" t="e">
        <f ca="1">MASSIVE.STOCKS.AGG_MINUTE("ABNB","h")</f>
        <v>#NAME?</v>
      </c>
      <c r="D6" t="e">
        <f ca="1">MASSIVE.STOCKS.AGG_MINUTE("ABNB","l")</f>
        <v>#NAME?</v>
      </c>
      <c r="E6" t="e">
        <f ca="1">MASSIVE.STOCKS.AGG_MINUTE("ABNB","c")</f>
        <v>#NAME?</v>
      </c>
      <c r="F6" t="e">
        <f ca="1">MASSIVE.STOCKS.AGG_MINUTE("ABNB","v")</f>
        <v>#NAME?</v>
      </c>
    </row>
    <row r="7" spans="1:6" x14ac:dyDescent="0.2">
      <c r="A7" t="s">
        <v>11</v>
      </c>
      <c r="B7" t="e">
        <f ca="1">MASSIVE.STOCKS.AGG_MINUTE("ABT","o")</f>
        <v>#NAME?</v>
      </c>
      <c r="C7" t="e">
        <f ca="1">MASSIVE.STOCKS.AGG_MINUTE("ABT","h")</f>
        <v>#NAME?</v>
      </c>
      <c r="D7" t="e">
        <f ca="1">MASSIVE.STOCKS.AGG_MINUTE("ABT","l")</f>
        <v>#NAME?</v>
      </c>
      <c r="E7" t="e">
        <f ca="1">MASSIVE.STOCKS.AGG_MINUTE("ABT","c")</f>
        <v>#NAME?</v>
      </c>
      <c r="F7" t="e">
        <f ca="1">MASSIVE.STOCKS.AGG_MINUTE("ABT","v")</f>
        <v>#NAME?</v>
      </c>
    </row>
    <row r="8" spans="1:6" x14ac:dyDescent="0.2">
      <c r="A8" t="s">
        <v>12</v>
      </c>
      <c r="B8" t="e">
        <f ca="1">MASSIVE.STOCKS.AGG_MINUTE("ACGL","o")</f>
        <v>#NAME?</v>
      </c>
      <c r="C8" t="e">
        <f ca="1">MASSIVE.STOCKS.AGG_MINUTE("ACGL","h")</f>
        <v>#NAME?</v>
      </c>
      <c r="D8" t="e">
        <f ca="1">MASSIVE.STOCKS.AGG_MINUTE("ACGL","l")</f>
        <v>#NAME?</v>
      </c>
      <c r="E8" t="e">
        <f ca="1">MASSIVE.STOCKS.AGG_MINUTE("ACGL","c")</f>
        <v>#NAME?</v>
      </c>
      <c r="F8" t="e">
        <f ca="1">MASSIVE.STOCKS.AGG_MINUTE("ACGL","v")</f>
        <v>#NAME?</v>
      </c>
    </row>
    <row r="9" spans="1:6" x14ac:dyDescent="0.2">
      <c r="A9" t="s">
        <v>13</v>
      </c>
      <c r="B9" t="e">
        <f ca="1">MASSIVE.STOCKS.AGG_MINUTE("ACN","o")</f>
        <v>#NAME?</v>
      </c>
      <c r="C9" t="e">
        <f ca="1">MASSIVE.STOCKS.AGG_MINUTE("ACN","h")</f>
        <v>#NAME?</v>
      </c>
      <c r="D9" t="e">
        <f ca="1">MASSIVE.STOCKS.AGG_MINUTE("ACN","l")</f>
        <v>#NAME?</v>
      </c>
      <c r="E9" t="e">
        <f ca="1">MASSIVE.STOCKS.AGG_MINUTE("ACN","c")</f>
        <v>#NAME?</v>
      </c>
      <c r="F9" t="e">
        <f ca="1">MASSIVE.STOCKS.AGG_MINUTE("ACN","v")</f>
        <v>#NAME?</v>
      </c>
    </row>
    <row r="10" spans="1:6" x14ac:dyDescent="0.2">
      <c r="A10" t="s">
        <v>14</v>
      </c>
      <c r="B10" t="e">
        <f ca="1">MASSIVE.STOCKS.AGG_MINUTE("ADBE","o")</f>
        <v>#NAME?</v>
      </c>
      <c r="C10" t="e">
        <f ca="1">MASSIVE.STOCKS.AGG_MINUTE("ADBE","h")</f>
        <v>#NAME?</v>
      </c>
      <c r="D10" t="e">
        <f ca="1">MASSIVE.STOCKS.AGG_MINUTE("ADBE","l")</f>
        <v>#NAME?</v>
      </c>
      <c r="E10" t="e">
        <f ca="1">MASSIVE.STOCKS.AGG_MINUTE("ADBE","c")</f>
        <v>#NAME?</v>
      </c>
      <c r="F10" t="e">
        <f ca="1">MASSIVE.STOCKS.AGG_MINUTE("ADBE","v")</f>
        <v>#NAME?</v>
      </c>
    </row>
    <row r="11" spans="1:6" x14ac:dyDescent="0.2">
      <c r="A11" t="s">
        <v>15</v>
      </c>
      <c r="B11" t="e">
        <f ca="1">MASSIVE.STOCKS.AGG_MINUTE("ADI","o")</f>
        <v>#NAME?</v>
      </c>
      <c r="C11" t="e">
        <f ca="1">MASSIVE.STOCKS.AGG_MINUTE("ADI","h")</f>
        <v>#NAME?</v>
      </c>
      <c r="D11" t="e">
        <f ca="1">MASSIVE.STOCKS.AGG_MINUTE("ADI","l")</f>
        <v>#NAME?</v>
      </c>
      <c r="E11" t="e">
        <f ca="1">MASSIVE.STOCKS.AGG_MINUTE("ADI","c")</f>
        <v>#NAME?</v>
      </c>
      <c r="F11" t="e">
        <f ca="1">MASSIVE.STOCKS.AGG_MINUTE("ADI","v")</f>
        <v>#NAME?</v>
      </c>
    </row>
    <row r="12" spans="1:6" x14ac:dyDescent="0.2">
      <c r="A12" t="s">
        <v>16</v>
      </c>
      <c r="B12" t="e">
        <f ca="1">MASSIVE.STOCKS.AGG_MINUTE("ADP","o")</f>
        <v>#NAME?</v>
      </c>
      <c r="C12" t="e">
        <f ca="1">MASSIVE.STOCKS.AGG_MINUTE("ADP","h")</f>
        <v>#NAME?</v>
      </c>
      <c r="D12" t="e">
        <f ca="1">MASSIVE.STOCKS.AGG_MINUTE("ADP","l")</f>
        <v>#NAME?</v>
      </c>
      <c r="E12" t="e">
        <f ca="1">MASSIVE.STOCKS.AGG_MINUTE("ADP","c")</f>
        <v>#NAME?</v>
      </c>
      <c r="F12" t="e">
        <f ca="1">MASSIVE.STOCKS.AGG_MINUTE("ADP","v")</f>
        <v>#NAME?</v>
      </c>
    </row>
    <row r="13" spans="1:6" x14ac:dyDescent="0.2">
      <c r="A13" t="s">
        <v>17</v>
      </c>
      <c r="B13" t="e">
        <f ca="1">MASSIVE.STOCKS.AGG_MINUTE("ADSK","o")</f>
        <v>#NAME?</v>
      </c>
      <c r="C13" t="e">
        <f ca="1">MASSIVE.STOCKS.AGG_MINUTE("ADSK","h")</f>
        <v>#NAME?</v>
      </c>
      <c r="D13" t="e">
        <f ca="1">MASSIVE.STOCKS.AGG_MINUTE("ADSK","l")</f>
        <v>#NAME?</v>
      </c>
      <c r="E13" t="e">
        <f ca="1">MASSIVE.STOCKS.AGG_MINUTE("ADSK","c")</f>
        <v>#NAME?</v>
      </c>
      <c r="F13" t="e">
        <f ca="1">MASSIVE.STOCKS.AGG_MINUTE("ADSK","v")</f>
        <v>#NAME?</v>
      </c>
    </row>
    <row r="14" spans="1:6" x14ac:dyDescent="0.2">
      <c r="A14" t="s">
        <v>18</v>
      </c>
      <c r="B14" t="e">
        <f ca="1">MASSIVE.STOCKS.AGG_MINUTE("AEP","o")</f>
        <v>#NAME?</v>
      </c>
      <c r="C14" t="e">
        <f ca="1">MASSIVE.STOCKS.AGG_MINUTE("AEP","h")</f>
        <v>#NAME?</v>
      </c>
      <c r="D14" t="e">
        <f ca="1">MASSIVE.STOCKS.AGG_MINUTE("AEP","l")</f>
        <v>#NAME?</v>
      </c>
      <c r="E14" t="e">
        <f ca="1">MASSIVE.STOCKS.AGG_MINUTE("AEP","c")</f>
        <v>#NAME?</v>
      </c>
      <c r="F14" t="e">
        <f ca="1">MASSIVE.STOCKS.AGG_MINUTE("AEP","v")</f>
        <v>#NAME?</v>
      </c>
    </row>
    <row r="15" spans="1:6" x14ac:dyDescent="0.2">
      <c r="A15" t="s">
        <v>19</v>
      </c>
      <c r="B15" t="e">
        <f ca="1">MASSIVE.STOCKS.AGG_MINUTE("AFL","o")</f>
        <v>#NAME?</v>
      </c>
      <c r="C15" t="e">
        <f ca="1">MASSIVE.STOCKS.AGG_MINUTE("AFL","h")</f>
        <v>#NAME?</v>
      </c>
      <c r="D15" t="e">
        <f ca="1">MASSIVE.STOCKS.AGG_MINUTE("AFL","l")</f>
        <v>#NAME?</v>
      </c>
      <c r="E15" t="e">
        <f ca="1">MASSIVE.STOCKS.AGG_MINUTE("AFL","c")</f>
        <v>#NAME?</v>
      </c>
      <c r="F15" t="e">
        <f ca="1">MASSIVE.STOCKS.AGG_MINUTE("AFL","v")</f>
        <v>#NAME?</v>
      </c>
    </row>
    <row r="16" spans="1:6" x14ac:dyDescent="0.2">
      <c r="A16" t="s">
        <v>20</v>
      </c>
      <c r="B16" t="e">
        <f ca="1">MASSIVE.STOCKS.AGG_MINUTE("AIG","o")</f>
        <v>#NAME?</v>
      </c>
      <c r="C16" t="e">
        <f ca="1">MASSIVE.STOCKS.AGG_MINUTE("AIG","h")</f>
        <v>#NAME?</v>
      </c>
      <c r="D16" t="e">
        <f ca="1">MASSIVE.STOCKS.AGG_MINUTE("AIG","l")</f>
        <v>#NAME?</v>
      </c>
      <c r="E16" t="e">
        <f ca="1">MASSIVE.STOCKS.AGG_MINUTE("AIG","c")</f>
        <v>#NAME?</v>
      </c>
      <c r="F16" t="e">
        <f ca="1">MASSIVE.STOCKS.AGG_MINUTE("AIG","v")</f>
        <v>#NAME?</v>
      </c>
    </row>
    <row r="17" spans="1:6" x14ac:dyDescent="0.2">
      <c r="A17" t="s">
        <v>21</v>
      </c>
      <c r="B17" t="e">
        <f ca="1">MASSIVE.STOCKS.AGG_MINUTE("AJG","o")</f>
        <v>#NAME?</v>
      </c>
      <c r="C17" t="e">
        <f ca="1">MASSIVE.STOCKS.AGG_MINUTE("AJG","h")</f>
        <v>#NAME?</v>
      </c>
      <c r="D17" t="e">
        <f ca="1">MASSIVE.STOCKS.AGG_MINUTE("AJG","l")</f>
        <v>#NAME?</v>
      </c>
      <c r="E17" t="e">
        <f ca="1">MASSIVE.STOCKS.AGG_MINUTE("AJG","c")</f>
        <v>#NAME?</v>
      </c>
      <c r="F17" t="e">
        <f ca="1">MASSIVE.STOCKS.AGG_MINUTE("AJG","v")</f>
        <v>#NAME?</v>
      </c>
    </row>
    <row r="18" spans="1:6" x14ac:dyDescent="0.2">
      <c r="A18" t="s">
        <v>22</v>
      </c>
      <c r="B18" t="e">
        <f ca="1">MASSIVE.STOCKS.AGG_MINUTE("AMD","o")</f>
        <v>#NAME?</v>
      </c>
      <c r="C18" t="e">
        <f ca="1">MASSIVE.STOCKS.AGG_MINUTE("AMD","h")</f>
        <v>#NAME?</v>
      </c>
      <c r="D18" t="e">
        <f ca="1">MASSIVE.STOCKS.AGG_MINUTE("AMD","l")</f>
        <v>#NAME?</v>
      </c>
      <c r="E18" t="e">
        <f ca="1">MASSIVE.STOCKS.AGG_MINUTE("AMD","c")</f>
        <v>#NAME?</v>
      </c>
      <c r="F18" t="e">
        <f ca="1">MASSIVE.STOCKS.AGG_MINUTE("AMD","v")</f>
        <v>#NAME?</v>
      </c>
    </row>
    <row r="19" spans="1:6" x14ac:dyDescent="0.2">
      <c r="A19" t="s">
        <v>23</v>
      </c>
      <c r="B19" t="e">
        <f ca="1">MASSIVE.STOCKS.AGG_MINUTE("AMGN","o")</f>
        <v>#NAME?</v>
      </c>
      <c r="C19" t="e">
        <f ca="1">MASSIVE.STOCKS.AGG_MINUTE("AMGN","h")</f>
        <v>#NAME?</v>
      </c>
      <c r="D19" t="e">
        <f ca="1">MASSIVE.STOCKS.AGG_MINUTE("AMGN","l")</f>
        <v>#NAME?</v>
      </c>
      <c r="E19" t="e">
        <f ca="1">MASSIVE.STOCKS.AGG_MINUTE("AMGN","c")</f>
        <v>#NAME?</v>
      </c>
      <c r="F19" t="e">
        <f ca="1">MASSIVE.STOCKS.AGG_MINUTE("AMGN","v")</f>
        <v>#NAME?</v>
      </c>
    </row>
    <row r="20" spans="1:6" x14ac:dyDescent="0.2">
      <c r="A20" t="s">
        <v>24</v>
      </c>
      <c r="B20" t="e">
        <f ca="1">MASSIVE.STOCKS.AGG_MINUTE("AMT","o")</f>
        <v>#NAME?</v>
      </c>
      <c r="C20" t="e">
        <f ca="1">MASSIVE.STOCKS.AGG_MINUTE("AMT","h")</f>
        <v>#NAME?</v>
      </c>
      <c r="D20" t="e">
        <f ca="1">MASSIVE.STOCKS.AGG_MINUTE("AMT","l")</f>
        <v>#NAME?</v>
      </c>
      <c r="E20" t="e">
        <f ca="1">MASSIVE.STOCKS.AGG_MINUTE("AMT","c")</f>
        <v>#NAME?</v>
      </c>
      <c r="F20" t="e">
        <f ca="1">MASSIVE.STOCKS.AGG_MINUTE("AMT","v")</f>
        <v>#NAME?</v>
      </c>
    </row>
    <row r="21" spans="1:6" x14ac:dyDescent="0.2">
      <c r="A21" t="s">
        <v>25</v>
      </c>
      <c r="B21" t="e">
        <f ca="1">MASSIVE.STOCKS.AGG_MINUTE("AMZN","o")</f>
        <v>#NAME?</v>
      </c>
      <c r="C21" t="e">
        <f ca="1">MASSIVE.STOCKS.AGG_MINUTE("AMZN","h")</f>
        <v>#NAME?</v>
      </c>
      <c r="D21" t="e">
        <f ca="1">MASSIVE.STOCKS.AGG_MINUTE("AMZN","l")</f>
        <v>#NAME?</v>
      </c>
      <c r="E21" t="e">
        <f ca="1">MASSIVE.STOCKS.AGG_MINUTE("AMZN","c")</f>
        <v>#NAME?</v>
      </c>
      <c r="F21" t="e">
        <f ca="1">MASSIVE.STOCKS.AGG_MINUTE("AMZN","v")</f>
        <v>#NAME?</v>
      </c>
    </row>
    <row r="22" spans="1:6" x14ac:dyDescent="0.2">
      <c r="A22" t="s">
        <v>26</v>
      </c>
      <c r="B22" t="e">
        <f ca="1">MASSIVE.STOCKS.AGG_MINUTE("ANET","o")</f>
        <v>#NAME?</v>
      </c>
      <c r="C22" t="e">
        <f ca="1">MASSIVE.STOCKS.AGG_MINUTE("ANET","h")</f>
        <v>#NAME?</v>
      </c>
      <c r="D22" t="e">
        <f ca="1">MASSIVE.STOCKS.AGG_MINUTE("ANET","l")</f>
        <v>#NAME?</v>
      </c>
      <c r="E22" t="e">
        <f ca="1">MASSIVE.STOCKS.AGG_MINUTE("ANET","c")</f>
        <v>#NAME?</v>
      </c>
      <c r="F22" t="e">
        <f ca="1">MASSIVE.STOCKS.AGG_MINUTE("ANET","v")</f>
        <v>#NAME?</v>
      </c>
    </row>
    <row r="23" spans="1:6" x14ac:dyDescent="0.2">
      <c r="A23" t="s">
        <v>27</v>
      </c>
      <c r="B23" t="e">
        <f ca="1">MASSIVE.STOCKS.AGG_MINUTE("AON","o")</f>
        <v>#NAME?</v>
      </c>
      <c r="C23" t="e">
        <f ca="1">MASSIVE.STOCKS.AGG_MINUTE("AON","h")</f>
        <v>#NAME?</v>
      </c>
      <c r="D23" t="e">
        <f ca="1">MASSIVE.STOCKS.AGG_MINUTE("AON","l")</f>
        <v>#NAME?</v>
      </c>
      <c r="E23" t="e">
        <f ca="1">MASSIVE.STOCKS.AGG_MINUTE("AON","c")</f>
        <v>#NAME?</v>
      </c>
      <c r="F23" t="e">
        <f ca="1">MASSIVE.STOCKS.AGG_MINUTE("AON","v")</f>
        <v>#NAME?</v>
      </c>
    </row>
    <row r="24" spans="1:6" x14ac:dyDescent="0.2">
      <c r="A24" t="s">
        <v>28</v>
      </c>
      <c r="B24" t="e">
        <f ca="1">MASSIVE.STOCKS.AGG_MINUTE("APH","o")</f>
        <v>#NAME?</v>
      </c>
      <c r="C24" t="e">
        <f ca="1">MASSIVE.STOCKS.AGG_MINUTE("APH","h")</f>
        <v>#NAME?</v>
      </c>
      <c r="D24" t="e">
        <f ca="1">MASSIVE.STOCKS.AGG_MINUTE("APH","l")</f>
        <v>#NAME?</v>
      </c>
      <c r="E24" t="e">
        <f ca="1">MASSIVE.STOCKS.AGG_MINUTE("APH","c")</f>
        <v>#NAME?</v>
      </c>
      <c r="F24" t="e">
        <f ca="1">MASSIVE.STOCKS.AGG_MINUTE("APH","v")</f>
        <v>#NAME?</v>
      </c>
    </row>
    <row r="25" spans="1:6" x14ac:dyDescent="0.2">
      <c r="A25" t="s">
        <v>29</v>
      </c>
      <c r="B25" t="e">
        <f ca="1">MASSIVE.STOCKS.AGG_MINUTE("ARM","o")</f>
        <v>#NAME?</v>
      </c>
      <c r="C25" t="e">
        <f ca="1">MASSIVE.STOCKS.AGG_MINUTE("ARM","h")</f>
        <v>#NAME?</v>
      </c>
      <c r="D25" t="e">
        <f ca="1">MASSIVE.STOCKS.AGG_MINUTE("ARM","l")</f>
        <v>#NAME?</v>
      </c>
      <c r="E25" t="e">
        <f ca="1">MASSIVE.STOCKS.AGG_MINUTE("ARM","c")</f>
        <v>#NAME?</v>
      </c>
      <c r="F25" t="e">
        <f ca="1">MASSIVE.STOCKS.AGG_MINUTE("ARM","v")</f>
        <v>#NAME?</v>
      </c>
    </row>
    <row r="26" spans="1:6" x14ac:dyDescent="0.2">
      <c r="A26" t="s">
        <v>30</v>
      </c>
      <c r="B26" t="e">
        <f ca="1">MASSIVE.STOCKS.AGG_MINUTE("AVGO","o")</f>
        <v>#NAME?</v>
      </c>
      <c r="C26" t="e">
        <f ca="1">MASSIVE.STOCKS.AGG_MINUTE("AVGO","h")</f>
        <v>#NAME?</v>
      </c>
      <c r="D26" t="e">
        <f ca="1">MASSIVE.STOCKS.AGG_MINUTE("AVGO","l")</f>
        <v>#NAME?</v>
      </c>
      <c r="E26" t="e">
        <f ca="1">MASSIVE.STOCKS.AGG_MINUTE("AVGO","c")</f>
        <v>#NAME?</v>
      </c>
      <c r="F26" t="e">
        <f ca="1">MASSIVE.STOCKS.AGG_MINUTE("AVGO","v")</f>
        <v>#NAME?</v>
      </c>
    </row>
    <row r="27" spans="1:6" x14ac:dyDescent="0.2">
      <c r="A27" t="s">
        <v>31</v>
      </c>
      <c r="B27" t="e">
        <f ca="1">MASSIVE.STOCKS.AGG_MINUTE("AZO","o")</f>
        <v>#NAME?</v>
      </c>
      <c r="C27" t="e">
        <f ca="1">MASSIVE.STOCKS.AGG_MINUTE("AZO","h")</f>
        <v>#NAME?</v>
      </c>
      <c r="D27" t="e">
        <f ca="1">MASSIVE.STOCKS.AGG_MINUTE("AZO","l")</f>
        <v>#NAME?</v>
      </c>
      <c r="E27" t="e">
        <f ca="1">MASSIVE.STOCKS.AGG_MINUTE("AZO","c")</f>
        <v>#NAME?</v>
      </c>
      <c r="F27" t="e">
        <f ca="1">MASSIVE.STOCKS.AGG_MINUTE("AZO","v")</f>
        <v>#NAME?</v>
      </c>
    </row>
    <row r="28" spans="1:6" x14ac:dyDescent="0.2">
      <c r="A28" t="s">
        <v>32</v>
      </c>
      <c r="B28" t="e">
        <f ca="1">MASSIVE.STOCKS.AGG_MINUTE("BA","o")</f>
        <v>#NAME?</v>
      </c>
      <c r="C28" t="e">
        <f ca="1">MASSIVE.STOCKS.AGG_MINUTE("BA","h")</f>
        <v>#NAME?</v>
      </c>
      <c r="D28" t="e">
        <f ca="1">MASSIVE.STOCKS.AGG_MINUTE("BA","l")</f>
        <v>#NAME?</v>
      </c>
      <c r="E28" t="e">
        <f ca="1">MASSIVE.STOCKS.AGG_MINUTE("BA","c")</f>
        <v>#NAME?</v>
      </c>
      <c r="F28" t="e">
        <f ca="1">MASSIVE.STOCKS.AGG_MINUTE("BA","v")</f>
        <v>#NAME?</v>
      </c>
    </row>
    <row r="29" spans="1:6" x14ac:dyDescent="0.2">
      <c r="A29" t="s">
        <v>33</v>
      </c>
      <c r="B29" t="e">
        <f ca="1">MASSIVE.STOCKS.AGG_MINUTE("BAC","o")</f>
        <v>#NAME?</v>
      </c>
      <c r="C29" t="e">
        <f ca="1">MASSIVE.STOCKS.AGG_MINUTE("BAC","h")</f>
        <v>#NAME?</v>
      </c>
      <c r="D29" t="e">
        <f ca="1">MASSIVE.STOCKS.AGG_MINUTE("BAC","l")</f>
        <v>#NAME?</v>
      </c>
      <c r="E29" t="e">
        <f ca="1">MASSIVE.STOCKS.AGG_MINUTE("BAC","c")</f>
        <v>#NAME?</v>
      </c>
      <c r="F29" t="e">
        <f ca="1">MASSIVE.STOCKS.AGG_MINUTE("BAC","v")</f>
        <v>#NAME?</v>
      </c>
    </row>
    <row r="30" spans="1:6" x14ac:dyDescent="0.2">
      <c r="A30" t="s">
        <v>34</v>
      </c>
      <c r="B30" t="e">
        <f ca="1">MASSIVE.STOCKS.AGG_MINUTE("BDX","o")</f>
        <v>#NAME?</v>
      </c>
      <c r="C30" t="e">
        <f ca="1">MASSIVE.STOCKS.AGG_MINUTE("BDX","h")</f>
        <v>#NAME?</v>
      </c>
      <c r="D30" t="e">
        <f ca="1">MASSIVE.STOCKS.AGG_MINUTE("BDX","l")</f>
        <v>#NAME?</v>
      </c>
      <c r="E30" t="e">
        <f ca="1">MASSIVE.STOCKS.AGG_MINUTE("BDX","c")</f>
        <v>#NAME?</v>
      </c>
      <c r="F30" t="e">
        <f ca="1">MASSIVE.STOCKS.AGG_MINUTE("BDX","v")</f>
        <v>#NAME?</v>
      </c>
    </row>
    <row r="31" spans="1:6" x14ac:dyDescent="0.2">
      <c r="A31" t="s">
        <v>35</v>
      </c>
      <c r="B31" t="e">
        <f ca="1">MASSIVE.STOCKS.AGG_MINUTE("BK","o")</f>
        <v>#NAME?</v>
      </c>
      <c r="C31" t="e">
        <f ca="1">MASSIVE.STOCKS.AGG_MINUTE("BK","h")</f>
        <v>#NAME?</v>
      </c>
      <c r="D31" t="e">
        <f ca="1">MASSIVE.STOCKS.AGG_MINUTE("BK","l")</f>
        <v>#NAME?</v>
      </c>
      <c r="E31" t="e">
        <f ca="1">MASSIVE.STOCKS.AGG_MINUTE("BK","c")</f>
        <v>#NAME?</v>
      </c>
      <c r="F31" t="e">
        <f ca="1">MASSIVE.STOCKS.AGG_MINUTE("BK","v")</f>
        <v>#NAME?</v>
      </c>
    </row>
    <row r="32" spans="1:6" x14ac:dyDescent="0.2">
      <c r="A32" t="s">
        <v>36</v>
      </c>
      <c r="B32" t="e">
        <f ca="1">MASSIVE.STOCKS.AGG_MINUTE("BKNG","o")</f>
        <v>#NAME?</v>
      </c>
      <c r="C32" t="e">
        <f ca="1">MASSIVE.STOCKS.AGG_MINUTE("BKNG","h")</f>
        <v>#NAME?</v>
      </c>
      <c r="D32" t="e">
        <f ca="1">MASSIVE.STOCKS.AGG_MINUTE("BKNG","l")</f>
        <v>#NAME?</v>
      </c>
      <c r="E32" t="e">
        <f ca="1">MASSIVE.STOCKS.AGG_MINUTE("BKNG","c")</f>
        <v>#NAME?</v>
      </c>
      <c r="F32" t="e">
        <f ca="1">MASSIVE.STOCKS.AGG_MINUTE("BKNG","v")</f>
        <v>#NAME?</v>
      </c>
    </row>
    <row r="33" spans="1:6" x14ac:dyDescent="0.2">
      <c r="A33" t="s">
        <v>37</v>
      </c>
      <c r="B33" t="e">
        <f ca="1">MASSIVE.STOCKS.AGG_MINUTE("BLK","o")</f>
        <v>#NAME?</v>
      </c>
      <c r="C33" t="e">
        <f ca="1">MASSIVE.STOCKS.AGG_MINUTE("BLK","h")</f>
        <v>#NAME?</v>
      </c>
      <c r="D33" t="e">
        <f ca="1">MASSIVE.STOCKS.AGG_MINUTE("BLK","l")</f>
        <v>#NAME?</v>
      </c>
      <c r="E33" t="e">
        <f ca="1">MASSIVE.STOCKS.AGG_MINUTE("BLK","c")</f>
        <v>#NAME?</v>
      </c>
      <c r="F33" t="e">
        <f ca="1">MASSIVE.STOCKS.AGG_MINUTE("BLK","v")</f>
        <v>#NAME?</v>
      </c>
    </row>
    <row r="34" spans="1:6" x14ac:dyDescent="0.2">
      <c r="A34" t="s">
        <v>38</v>
      </c>
      <c r="B34" t="e">
        <f ca="1">MASSIVE.STOCKS.AGG_MINUTE("BMY","o")</f>
        <v>#NAME?</v>
      </c>
      <c r="C34" t="e">
        <f ca="1">MASSIVE.STOCKS.AGG_MINUTE("BMY","h")</f>
        <v>#NAME?</v>
      </c>
      <c r="D34" t="e">
        <f ca="1">MASSIVE.STOCKS.AGG_MINUTE("BMY","l")</f>
        <v>#NAME?</v>
      </c>
      <c r="E34" t="e">
        <f ca="1">MASSIVE.STOCKS.AGG_MINUTE("BMY","c")</f>
        <v>#NAME?</v>
      </c>
      <c r="F34" t="e">
        <f ca="1">MASSIVE.STOCKS.AGG_MINUTE("BMY","v")</f>
        <v>#NAME?</v>
      </c>
    </row>
    <row r="35" spans="1:6" x14ac:dyDescent="0.2">
      <c r="A35" t="s">
        <v>39</v>
      </c>
      <c r="B35" t="e">
        <f ca="1">MASSIVE.STOCKS.AGG_MINUTE("CARR","o")</f>
        <v>#NAME?</v>
      </c>
      <c r="C35" t="e">
        <f ca="1">MASSIVE.STOCKS.AGG_MINUTE("CARR","h")</f>
        <v>#NAME?</v>
      </c>
      <c r="D35" t="e">
        <f ca="1">MASSIVE.STOCKS.AGG_MINUTE("CARR","l")</f>
        <v>#NAME?</v>
      </c>
      <c r="E35" t="e">
        <f ca="1">MASSIVE.STOCKS.AGG_MINUTE("CARR","c")</f>
        <v>#NAME?</v>
      </c>
      <c r="F35" t="e">
        <f ca="1">MASSIVE.STOCKS.AGG_MINUTE("CARR","v")</f>
        <v>#NAME?</v>
      </c>
    </row>
    <row r="36" spans="1:6" x14ac:dyDescent="0.2">
      <c r="A36" t="s">
        <v>40</v>
      </c>
      <c r="B36" t="e">
        <f ca="1">MASSIVE.STOCKS.AGG_MINUTE("CAT","o")</f>
        <v>#NAME?</v>
      </c>
      <c r="C36" t="e">
        <f ca="1">MASSIVE.STOCKS.AGG_MINUTE("CAT","h")</f>
        <v>#NAME?</v>
      </c>
      <c r="D36" t="e">
        <f ca="1">MASSIVE.STOCKS.AGG_MINUTE("CAT","l")</f>
        <v>#NAME?</v>
      </c>
      <c r="E36" t="e">
        <f ca="1">MASSIVE.STOCKS.AGG_MINUTE("CAT","c")</f>
        <v>#NAME?</v>
      </c>
      <c r="F36" t="e">
        <f ca="1">MASSIVE.STOCKS.AGG_MINUTE("CAT","v")</f>
        <v>#NAME?</v>
      </c>
    </row>
    <row r="37" spans="1:6" x14ac:dyDescent="0.2">
      <c r="A37" t="s">
        <v>41</v>
      </c>
      <c r="B37" t="e">
        <f ca="1">MASSIVE.STOCKS.AGG_MINUTE("CB","o")</f>
        <v>#NAME?</v>
      </c>
      <c r="C37" t="e">
        <f ca="1">MASSIVE.STOCKS.AGG_MINUTE("CB","h")</f>
        <v>#NAME?</v>
      </c>
      <c r="D37" t="e">
        <f ca="1">MASSIVE.STOCKS.AGG_MINUTE("CB","l")</f>
        <v>#NAME?</v>
      </c>
      <c r="E37" t="e">
        <f ca="1">MASSIVE.STOCKS.AGG_MINUTE("CB","c")</f>
        <v>#NAME?</v>
      </c>
      <c r="F37" t="e">
        <f ca="1">MASSIVE.STOCKS.AGG_MINUTE("CB","v")</f>
        <v>#NAME?</v>
      </c>
    </row>
    <row r="38" spans="1:6" x14ac:dyDescent="0.2">
      <c r="A38" t="s">
        <v>42</v>
      </c>
      <c r="B38" t="e">
        <f ca="1">MASSIVE.STOCKS.AGG_MINUTE("CCI","o")</f>
        <v>#NAME?</v>
      </c>
      <c r="C38" t="e">
        <f ca="1">MASSIVE.STOCKS.AGG_MINUTE("CCI","h")</f>
        <v>#NAME?</v>
      </c>
      <c r="D38" t="e">
        <f ca="1">MASSIVE.STOCKS.AGG_MINUTE("CCI","l")</f>
        <v>#NAME?</v>
      </c>
      <c r="E38" t="e">
        <f ca="1">MASSIVE.STOCKS.AGG_MINUTE("CCI","c")</f>
        <v>#NAME?</v>
      </c>
      <c r="F38" t="e">
        <f ca="1">MASSIVE.STOCKS.AGG_MINUTE("CCI","v")</f>
        <v>#NAME?</v>
      </c>
    </row>
    <row r="39" spans="1:6" x14ac:dyDescent="0.2">
      <c r="A39" t="s">
        <v>43</v>
      </c>
      <c r="B39" t="e">
        <f ca="1">MASSIVE.STOCKS.AGG_MINUTE("CDNS","o")</f>
        <v>#NAME?</v>
      </c>
      <c r="C39" t="e">
        <f ca="1">MASSIVE.STOCKS.AGG_MINUTE("CDNS","h")</f>
        <v>#NAME?</v>
      </c>
      <c r="D39" t="e">
        <f ca="1">MASSIVE.STOCKS.AGG_MINUTE("CDNS","l")</f>
        <v>#NAME?</v>
      </c>
      <c r="E39" t="e">
        <f ca="1">MASSIVE.STOCKS.AGG_MINUTE("CDNS","c")</f>
        <v>#NAME?</v>
      </c>
      <c r="F39" t="e">
        <f ca="1">MASSIVE.STOCKS.AGG_MINUTE("CDNS","v")</f>
        <v>#NAME?</v>
      </c>
    </row>
    <row r="40" spans="1:6" x14ac:dyDescent="0.2">
      <c r="A40" t="s">
        <v>44</v>
      </c>
      <c r="B40" t="e">
        <f ca="1">MASSIVE.STOCKS.AGG_MINUTE("CHTR","o")</f>
        <v>#NAME?</v>
      </c>
      <c r="C40" t="e">
        <f ca="1">MASSIVE.STOCKS.AGG_MINUTE("CHTR","h")</f>
        <v>#NAME?</v>
      </c>
      <c r="D40" t="e">
        <f ca="1">MASSIVE.STOCKS.AGG_MINUTE("CHTR","l")</f>
        <v>#NAME?</v>
      </c>
      <c r="E40" t="e">
        <f ca="1">MASSIVE.STOCKS.AGG_MINUTE("CHTR","c")</f>
        <v>#NAME?</v>
      </c>
      <c r="F40" t="e">
        <f ca="1">MASSIVE.STOCKS.AGG_MINUTE("CHTR","v")</f>
        <v>#NAME?</v>
      </c>
    </row>
    <row r="41" spans="1:6" x14ac:dyDescent="0.2">
      <c r="A41" t="s">
        <v>45</v>
      </c>
      <c r="B41" t="e">
        <f ca="1">MASSIVE.STOCKS.AGG_MINUTE("CI","o")</f>
        <v>#NAME?</v>
      </c>
      <c r="C41" t="e">
        <f ca="1">MASSIVE.STOCKS.AGG_MINUTE("CI","h")</f>
        <v>#NAME?</v>
      </c>
      <c r="D41" t="e">
        <f ca="1">MASSIVE.STOCKS.AGG_MINUTE("CI","l")</f>
        <v>#NAME?</v>
      </c>
      <c r="E41" t="e">
        <f ca="1">MASSIVE.STOCKS.AGG_MINUTE("CI","c")</f>
        <v>#NAME?</v>
      </c>
      <c r="F41" t="e">
        <f ca="1">MASSIVE.STOCKS.AGG_MINUTE("CI","v")</f>
        <v>#NAME?</v>
      </c>
    </row>
    <row r="42" spans="1:6" x14ac:dyDescent="0.2">
      <c r="A42" t="s">
        <v>46</v>
      </c>
      <c r="B42" t="e">
        <f ca="1">MASSIVE.STOCKS.AGG_MINUTE("CL","o")</f>
        <v>#NAME?</v>
      </c>
      <c r="C42" t="e">
        <f ca="1">MASSIVE.STOCKS.AGG_MINUTE("CL","h")</f>
        <v>#NAME?</v>
      </c>
      <c r="D42" t="e">
        <f ca="1">MASSIVE.STOCKS.AGG_MINUTE("CL","l")</f>
        <v>#NAME?</v>
      </c>
      <c r="E42" t="e">
        <f ca="1">MASSIVE.STOCKS.AGG_MINUTE("CL","c")</f>
        <v>#NAME?</v>
      </c>
      <c r="F42" t="e">
        <f ca="1">MASSIVE.STOCKS.AGG_MINUTE("CL","v")</f>
        <v>#NAME?</v>
      </c>
    </row>
    <row r="43" spans="1:6" x14ac:dyDescent="0.2">
      <c r="A43" t="s">
        <v>47</v>
      </c>
      <c r="B43" t="e">
        <f ca="1">MASSIVE.STOCKS.AGG_MINUTE("CME","o")</f>
        <v>#NAME?</v>
      </c>
      <c r="C43" t="e">
        <f ca="1">MASSIVE.STOCKS.AGG_MINUTE("CME","h")</f>
        <v>#NAME?</v>
      </c>
      <c r="D43" t="e">
        <f ca="1">MASSIVE.STOCKS.AGG_MINUTE("CME","l")</f>
        <v>#NAME?</v>
      </c>
      <c r="E43" t="e">
        <f ca="1">MASSIVE.STOCKS.AGG_MINUTE("CME","c")</f>
        <v>#NAME?</v>
      </c>
      <c r="F43" t="e">
        <f ca="1">MASSIVE.STOCKS.AGG_MINUTE("CME","v")</f>
        <v>#NAME?</v>
      </c>
    </row>
    <row r="44" spans="1:6" x14ac:dyDescent="0.2">
      <c r="A44" t="s">
        <v>48</v>
      </c>
      <c r="B44" t="e">
        <f ca="1">MASSIVE.STOCKS.AGG_MINUTE("CMG","o")</f>
        <v>#NAME?</v>
      </c>
      <c r="C44" t="e">
        <f ca="1">MASSIVE.STOCKS.AGG_MINUTE("CMG","h")</f>
        <v>#NAME?</v>
      </c>
      <c r="D44" t="e">
        <f ca="1">MASSIVE.STOCKS.AGG_MINUTE("CMG","l")</f>
        <v>#NAME?</v>
      </c>
      <c r="E44" t="e">
        <f ca="1">MASSIVE.STOCKS.AGG_MINUTE("CMG","c")</f>
        <v>#NAME?</v>
      </c>
      <c r="F44" t="e">
        <f ca="1">MASSIVE.STOCKS.AGG_MINUTE("CMG","v")</f>
        <v>#NAME?</v>
      </c>
    </row>
    <row r="45" spans="1:6" x14ac:dyDescent="0.2">
      <c r="A45" t="s">
        <v>49</v>
      </c>
      <c r="B45" t="e">
        <f ca="1">MASSIVE.STOCKS.AGG_MINUTE("COF","o")</f>
        <v>#NAME?</v>
      </c>
      <c r="C45" t="e">
        <f ca="1">MASSIVE.STOCKS.AGG_MINUTE("COF","h")</f>
        <v>#NAME?</v>
      </c>
      <c r="D45" t="e">
        <f ca="1">MASSIVE.STOCKS.AGG_MINUTE("COF","l")</f>
        <v>#NAME?</v>
      </c>
      <c r="E45" t="e">
        <f ca="1">MASSIVE.STOCKS.AGG_MINUTE("COF","c")</f>
        <v>#NAME?</v>
      </c>
      <c r="F45" t="e">
        <f ca="1">MASSIVE.STOCKS.AGG_MINUTE("COF","v")</f>
        <v>#NAME?</v>
      </c>
    </row>
    <row r="46" spans="1:6" x14ac:dyDescent="0.2">
      <c r="A46" t="s">
        <v>50</v>
      </c>
      <c r="B46" t="e">
        <f ca="1">MASSIVE.STOCKS.AGG_MINUTE("COIN","o")</f>
        <v>#NAME?</v>
      </c>
      <c r="C46" t="e">
        <f ca="1">MASSIVE.STOCKS.AGG_MINUTE("COIN","h")</f>
        <v>#NAME?</v>
      </c>
      <c r="D46" t="e">
        <f ca="1">MASSIVE.STOCKS.AGG_MINUTE("COIN","l")</f>
        <v>#NAME?</v>
      </c>
      <c r="E46" t="e">
        <f ca="1">MASSIVE.STOCKS.AGG_MINUTE("COIN","c")</f>
        <v>#NAME?</v>
      </c>
      <c r="F46" t="e">
        <f ca="1">MASSIVE.STOCKS.AGG_MINUTE("COIN","v")</f>
        <v>#NAME?</v>
      </c>
    </row>
    <row r="47" spans="1:6" x14ac:dyDescent="0.2">
      <c r="A47" t="s">
        <v>51</v>
      </c>
      <c r="B47" t="e">
        <f ca="1">MASSIVE.STOCKS.AGG_MINUTE("COST","o")</f>
        <v>#NAME?</v>
      </c>
      <c r="C47" t="e">
        <f ca="1">MASSIVE.STOCKS.AGG_MINUTE("COST","h")</f>
        <v>#NAME?</v>
      </c>
      <c r="D47" t="e">
        <f ca="1">MASSIVE.STOCKS.AGG_MINUTE("COST","l")</f>
        <v>#NAME?</v>
      </c>
      <c r="E47" t="e">
        <f ca="1">MASSIVE.STOCKS.AGG_MINUTE("COST","c")</f>
        <v>#NAME?</v>
      </c>
      <c r="F47" t="e">
        <f ca="1">MASSIVE.STOCKS.AGG_MINUTE("COST","v")</f>
        <v>#NAME?</v>
      </c>
    </row>
    <row r="48" spans="1:6" x14ac:dyDescent="0.2">
      <c r="A48" t="s">
        <v>52</v>
      </c>
      <c r="B48" t="e">
        <f ca="1">MASSIVE.STOCKS.AGG_MINUTE("CPRT","o")</f>
        <v>#NAME?</v>
      </c>
      <c r="C48" t="e">
        <f ca="1">MASSIVE.STOCKS.AGG_MINUTE("CPRT","h")</f>
        <v>#NAME?</v>
      </c>
      <c r="D48" t="e">
        <f ca="1">MASSIVE.STOCKS.AGG_MINUTE("CPRT","l")</f>
        <v>#NAME?</v>
      </c>
      <c r="E48" t="e">
        <f ca="1">MASSIVE.STOCKS.AGG_MINUTE("CPRT","c")</f>
        <v>#NAME?</v>
      </c>
      <c r="F48" t="e">
        <f ca="1">MASSIVE.STOCKS.AGG_MINUTE("CPRT","v")</f>
        <v>#NAME?</v>
      </c>
    </row>
    <row r="49" spans="1:6" x14ac:dyDescent="0.2">
      <c r="A49" t="s">
        <v>53</v>
      </c>
      <c r="B49" t="e">
        <f ca="1">MASSIVE.STOCKS.AGG_MINUTE("CRM","o")</f>
        <v>#NAME?</v>
      </c>
      <c r="C49" t="e">
        <f ca="1">MASSIVE.STOCKS.AGG_MINUTE("CRM","h")</f>
        <v>#NAME?</v>
      </c>
      <c r="D49" t="e">
        <f ca="1">MASSIVE.STOCKS.AGG_MINUTE("CRM","l")</f>
        <v>#NAME?</v>
      </c>
      <c r="E49" t="e">
        <f ca="1">MASSIVE.STOCKS.AGG_MINUTE("CRM","c")</f>
        <v>#NAME?</v>
      </c>
      <c r="F49" t="e">
        <f ca="1">MASSIVE.STOCKS.AGG_MINUTE("CRM","v")</f>
        <v>#NAME?</v>
      </c>
    </row>
    <row r="50" spans="1:6" x14ac:dyDescent="0.2">
      <c r="A50" t="s">
        <v>54</v>
      </c>
      <c r="B50" t="e">
        <f ca="1">MASSIVE.STOCKS.AGG_MINUTE("CRWD","o")</f>
        <v>#NAME?</v>
      </c>
      <c r="C50" t="e">
        <f ca="1">MASSIVE.STOCKS.AGG_MINUTE("CRWD","h")</f>
        <v>#NAME?</v>
      </c>
      <c r="D50" t="e">
        <f ca="1">MASSIVE.STOCKS.AGG_MINUTE("CRWD","l")</f>
        <v>#NAME?</v>
      </c>
      <c r="E50" t="e">
        <f ca="1">MASSIVE.STOCKS.AGG_MINUTE("CRWD","c")</f>
        <v>#NAME?</v>
      </c>
      <c r="F50" t="e">
        <f ca="1">MASSIVE.STOCKS.AGG_MINUTE("CRWD","v")</f>
        <v>#NAME?</v>
      </c>
    </row>
    <row r="51" spans="1:6" x14ac:dyDescent="0.2">
      <c r="A51" t="s">
        <v>55</v>
      </c>
      <c r="B51" t="e">
        <f ca="1">MASSIVE.STOCKS.AGG_MINUTE("CSCO","o")</f>
        <v>#NAME?</v>
      </c>
      <c r="C51" t="e">
        <f ca="1">MASSIVE.STOCKS.AGG_MINUTE("CSCO","h")</f>
        <v>#NAME?</v>
      </c>
      <c r="D51" t="e">
        <f ca="1">MASSIVE.STOCKS.AGG_MINUTE("CSCO","l")</f>
        <v>#NAME?</v>
      </c>
      <c r="E51" t="e">
        <f ca="1">MASSIVE.STOCKS.AGG_MINUTE("CSCO","c")</f>
        <v>#NAME?</v>
      </c>
      <c r="F51" t="e">
        <f ca="1">MASSIVE.STOCKS.AGG_MINUTE("CSCO","v")</f>
        <v>#NAME?</v>
      </c>
    </row>
    <row r="52" spans="1:6" x14ac:dyDescent="0.2">
      <c r="A52" t="s">
        <v>56</v>
      </c>
      <c r="B52" t="e">
        <f ca="1">MASSIVE.STOCKS.AGG_MINUTE("CSX","o")</f>
        <v>#NAME?</v>
      </c>
      <c r="C52" t="e">
        <f ca="1">MASSIVE.STOCKS.AGG_MINUTE("CSX","h")</f>
        <v>#NAME?</v>
      </c>
      <c r="D52" t="e">
        <f ca="1">MASSIVE.STOCKS.AGG_MINUTE("CSX","l")</f>
        <v>#NAME?</v>
      </c>
      <c r="E52" t="e">
        <f ca="1">MASSIVE.STOCKS.AGG_MINUTE("CSX","c")</f>
        <v>#NAME?</v>
      </c>
      <c r="F52" t="e">
        <f ca="1">MASSIVE.STOCKS.AGG_MINUTE("CSX","v")</f>
        <v>#NAME?</v>
      </c>
    </row>
    <row r="53" spans="1:6" x14ac:dyDescent="0.2">
      <c r="A53" t="s">
        <v>57</v>
      </c>
      <c r="B53" t="e">
        <f ca="1">MASSIVE.STOCKS.AGG_MINUTE("CTAS","o")</f>
        <v>#NAME?</v>
      </c>
      <c r="C53" t="e">
        <f ca="1">MASSIVE.STOCKS.AGG_MINUTE("CTAS","h")</f>
        <v>#NAME?</v>
      </c>
      <c r="D53" t="e">
        <f ca="1">MASSIVE.STOCKS.AGG_MINUTE("CTAS","l")</f>
        <v>#NAME?</v>
      </c>
      <c r="E53" t="e">
        <f ca="1">MASSIVE.STOCKS.AGG_MINUTE("CTAS","c")</f>
        <v>#NAME?</v>
      </c>
      <c r="F53" t="e">
        <f ca="1">MASSIVE.STOCKS.AGG_MINUTE("CTAS","v")</f>
        <v>#NAME?</v>
      </c>
    </row>
    <row r="54" spans="1:6" x14ac:dyDescent="0.2">
      <c r="A54" t="s">
        <v>58</v>
      </c>
      <c r="B54" t="e">
        <f ca="1">MASSIVE.STOCKS.AGG_MINUTE("CTVA","o")</f>
        <v>#NAME?</v>
      </c>
      <c r="C54" t="e">
        <f ca="1">MASSIVE.STOCKS.AGG_MINUTE("CTVA","h")</f>
        <v>#NAME?</v>
      </c>
      <c r="D54" t="e">
        <f ca="1">MASSIVE.STOCKS.AGG_MINUTE("CTVA","l")</f>
        <v>#NAME?</v>
      </c>
      <c r="E54" t="e">
        <f ca="1">MASSIVE.STOCKS.AGG_MINUTE("CTVA","c")</f>
        <v>#NAME?</v>
      </c>
      <c r="F54" t="e">
        <f ca="1">MASSIVE.STOCKS.AGG_MINUTE("CTVA","v")</f>
        <v>#NAME?</v>
      </c>
    </row>
    <row r="55" spans="1:6" x14ac:dyDescent="0.2">
      <c r="A55" t="s">
        <v>59</v>
      </c>
      <c r="B55" t="e">
        <f ca="1">MASSIVE.STOCKS.AGG_MINUTE("CVX","o")</f>
        <v>#NAME?</v>
      </c>
      <c r="C55" t="e">
        <f ca="1">MASSIVE.STOCKS.AGG_MINUTE("CVX","h")</f>
        <v>#NAME?</v>
      </c>
      <c r="D55" t="e">
        <f ca="1">MASSIVE.STOCKS.AGG_MINUTE("CVX","l")</f>
        <v>#NAME?</v>
      </c>
      <c r="E55" t="e">
        <f ca="1">MASSIVE.STOCKS.AGG_MINUTE("CVX","c")</f>
        <v>#NAME?</v>
      </c>
      <c r="F55" t="e">
        <f ca="1">MASSIVE.STOCKS.AGG_MINUTE("CVX","v")</f>
        <v>#NAME?</v>
      </c>
    </row>
    <row r="56" spans="1:6" x14ac:dyDescent="0.2">
      <c r="A56" t="s">
        <v>60</v>
      </c>
      <c r="B56" t="e">
        <f ca="1">MASSIVE.STOCKS.AGG_MINUTE("D","o")</f>
        <v>#NAME?</v>
      </c>
      <c r="C56" t="e">
        <f ca="1">MASSIVE.STOCKS.AGG_MINUTE("D","h")</f>
        <v>#NAME?</v>
      </c>
      <c r="D56" t="e">
        <f ca="1">MASSIVE.STOCKS.AGG_MINUTE("D","l")</f>
        <v>#NAME?</v>
      </c>
      <c r="E56" t="e">
        <f ca="1">MASSIVE.STOCKS.AGG_MINUTE("D","c")</f>
        <v>#NAME?</v>
      </c>
      <c r="F56" t="e">
        <f ca="1">MASSIVE.STOCKS.AGG_MINUTE("D","v")</f>
        <v>#NAME?</v>
      </c>
    </row>
    <row r="57" spans="1:6" x14ac:dyDescent="0.2">
      <c r="A57" t="s">
        <v>61</v>
      </c>
      <c r="B57" t="e">
        <f ca="1">MASSIVE.STOCKS.AGG_MINUTE("DAL","o")</f>
        <v>#NAME?</v>
      </c>
      <c r="C57" t="e">
        <f ca="1">MASSIVE.STOCKS.AGG_MINUTE("DAL","h")</f>
        <v>#NAME?</v>
      </c>
      <c r="D57" t="e">
        <f ca="1">MASSIVE.STOCKS.AGG_MINUTE("DAL","l")</f>
        <v>#NAME?</v>
      </c>
      <c r="E57" t="e">
        <f ca="1">MASSIVE.STOCKS.AGG_MINUTE("DAL","c")</f>
        <v>#NAME?</v>
      </c>
      <c r="F57" t="e">
        <f ca="1">MASSIVE.STOCKS.AGG_MINUTE("DAL","v")</f>
        <v>#NAME?</v>
      </c>
    </row>
    <row r="58" spans="1:6" x14ac:dyDescent="0.2">
      <c r="A58" t="s">
        <v>62</v>
      </c>
      <c r="B58" t="e">
        <f ca="1">MASSIVE.STOCKS.AGG_MINUTE("DDOG","o")</f>
        <v>#NAME?</v>
      </c>
      <c r="C58" t="e">
        <f ca="1">MASSIVE.STOCKS.AGG_MINUTE("DDOG","h")</f>
        <v>#NAME?</v>
      </c>
      <c r="D58" t="e">
        <f ca="1">MASSIVE.STOCKS.AGG_MINUTE("DDOG","l")</f>
        <v>#NAME?</v>
      </c>
      <c r="E58" t="e">
        <f ca="1">MASSIVE.STOCKS.AGG_MINUTE("DDOG","c")</f>
        <v>#NAME?</v>
      </c>
      <c r="F58" t="e">
        <f ca="1">MASSIVE.STOCKS.AGG_MINUTE("DDOG","v")</f>
        <v>#NAME?</v>
      </c>
    </row>
    <row r="59" spans="1:6" x14ac:dyDescent="0.2">
      <c r="A59" t="s">
        <v>63</v>
      </c>
      <c r="B59" t="e">
        <f ca="1">MASSIVE.STOCKS.AGG_MINUTE("DE","o")</f>
        <v>#NAME?</v>
      </c>
      <c r="C59" t="e">
        <f ca="1">MASSIVE.STOCKS.AGG_MINUTE("DE","h")</f>
        <v>#NAME?</v>
      </c>
      <c r="D59" t="e">
        <f ca="1">MASSIVE.STOCKS.AGG_MINUTE("DE","l")</f>
        <v>#NAME?</v>
      </c>
      <c r="E59" t="e">
        <f ca="1">MASSIVE.STOCKS.AGG_MINUTE("DE","c")</f>
        <v>#NAME?</v>
      </c>
      <c r="F59" t="e">
        <f ca="1">MASSIVE.STOCKS.AGG_MINUTE("DE","v")</f>
        <v>#NAME?</v>
      </c>
    </row>
    <row r="60" spans="1:6" x14ac:dyDescent="0.2">
      <c r="A60" t="s">
        <v>64</v>
      </c>
      <c r="B60" t="e">
        <f ca="1">MASSIVE.STOCKS.AGG_MINUTE("DELL","o")</f>
        <v>#NAME?</v>
      </c>
      <c r="C60" t="e">
        <f ca="1">MASSIVE.STOCKS.AGG_MINUTE("DELL","h")</f>
        <v>#NAME?</v>
      </c>
      <c r="D60" t="e">
        <f ca="1">MASSIVE.STOCKS.AGG_MINUTE("DELL","l")</f>
        <v>#NAME?</v>
      </c>
      <c r="E60" t="e">
        <f ca="1">MASSIVE.STOCKS.AGG_MINUTE("DELL","c")</f>
        <v>#NAME?</v>
      </c>
      <c r="F60" t="e">
        <f ca="1">MASSIVE.STOCKS.AGG_MINUTE("DELL","v")</f>
        <v>#NAME?</v>
      </c>
    </row>
    <row r="61" spans="1:6" x14ac:dyDescent="0.2">
      <c r="A61" t="s">
        <v>65</v>
      </c>
      <c r="B61" t="e">
        <f ca="1">MASSIVE.STOCKS.AGG_MINUTE("DHI","o")</f>
        <v>#NAME?</v>
      </c>
      <c r="C61" t="e">
        <f ca="1">MASSIVE.STOCKS.AGG_MINUTE("DHI","h")</f>
        <v>#NAME?</v>
      </c>
      <c r="D61" t="e">
        <f ca="1">MASSIVE.STOCKS.AGG_MINUTE("DHI","l")</f>
        <v>#NAME?</v>
      </c>
      <c r="E61" t="e">
        <f ca="1">MASSIVE.STOCKS.AGG_MINUTE("DHI","c")</f>
        <v>#NAME?</v>
      </c>
      <c r="F61" t="e">
        <f ca="1">MASSIVE.STOCKS.AGG_MINUTE("DHI","v")</f>
        <v>#NAME?</v>
      </c>
    </row>
    <row r="62" spans="1:6" x14ac:dyDescent="0.2">
      <c r="A62" t="s">
        <v>66</v>
      </c>
      <c r="B62" t="e">
        <f ca="1">MASSIVE.STOCKS.AGG_MINUTE("DHR","o")</f>
        <v>#NAME?</v>
      </c>
      <c r="C62" t="e">
        <f ca="1">MASSIVE.STOCKS.AGG_MINUTE("DHR","h")</f>
        <v>#NAME?</v>
      </c>
      <c r="D62" t="e">
        <f ca="1">MASSIVE.STOCKS.AGG_MINUTE("DHR","l")</f>
        <v>#NAME?</v>
      </c>
      <c r="E62" t="e">
        <f ca="1">MASSIVE.STOCKS.AGG_MINUTE("DHR","c")</f>
        <v>#NAME?</v>
      </c>
      <c r="F62" t="e">
        <f ca="1">MASSIVE.STOCKS.AGG_MINUTE("DHR","v")</f>
        <v>#NAME?</v>
      </c>
    </row>
    <row r="63" spans="1:6" x14ac:dyDescent="0.2">
      <c r="A63" t="s">
        <v>67</v>
      </c>
      <c r="B63" t="e">
        <f ca="1">MASSIVE.STOCKS.AGG_MINUTE("DLR","o")</f>
        <v>#NAME?</v>
      </c>
      <c r="C63" t="e">
        <f ca="1">MASSIVE.STOCKS.AGG_MINUTE("DLR","h")</f>
        <v>#NAME?</v>
      </c>
      <c r="D63" t="e">
        <f ca="1">MASSIVE.STOCKS.AGG_MINUTE("DLR","l")</f>
        <v>#NAME?</v>
      </c>
      <c r="E63" t="e">
        <f ca="1">MASSIVE.STOCKS.AGG_MINUTE("DLR","c")</f>
        <v>#NAME?</v>
      </c>
      <c r="F63" t="e">
        <f ca="1">MASSIVE.STOCKS.AGG_MINUTE("DLR","v")</f>
        <v>#NAME?</v>
      </c>
    </row>
    <row r="64" spans="1:6" x14ac:dyDescent="0.2">
      <c r="A64" t="s">
        <v>68</v>
      </c>
      <c r="B64" t="e">
        <f ca="1">MASSIVE.STOCKS.AGG_MINUTE("DUK","o")</f>
        <v>#NAME?</v>
      </c>
      <c r="C64" t="e">
        <f ca="1">MASSIVE.STOCKS.AGG_MINUTE("DUK","h")</f>
        <v>#NAME?</v>
      </c>
      <c r="D64" t="e">
        <f ca="1">MASSIVE.STOCKS.AGG_MINUTE("DUK","l")</f>
        <v>#NAME?</v>
      </c>
      <c r="E64" t="e">
        <f ca="1">MASSIVE.STOCKS.AGG_MINUTE("DUK","c")</f>
        <v>#NAME?</v>
      </c>
      <c r="F64" t="e">
        <f ca="1">MASSIVE.STOCKS.AGG_MINUTE("DUK","v")</f>
        <v>#NAME?</v>
      </c>
    </row>
    <row r="65" spans="1:6" x14ac:dyDescent="0.2">
      <c r="A65" t="s">
        <v>69</v>
      </c>
      <c r="B65" t="e">
        <f ca="1">MASSIVE.STOCKS.AGG_MINUTE("DXCM","o")</f>
        <v>#NAME?</v>
      </c>
      <c r="C65" t="e">
        <f ca="1">MASSIVE.STOCKS.AGG_MINUTE("DXCM","h")</f>
        <v>#NAME?</v>
      </c>
      <c r="D65" t="e">
        <f ca="1">MASSIVE.STOCKS.AGG_MINUTE("DXCM","l")</f>
        <v>#NAME?</v>
      </c>
      <c r="E65" t="e">
        <f ca="1">MASSIVE.STOCKS.AGG_MINUTE("DXCM","c")</f>
        <v>#NAME?</v>
      </c>
      <c r="F65" t="e">
        <f ca="1">MASSIVE.STOCKS.AGG_MINUTE("DXCM","v")</f>
        <v>#NAME?</v>
      </c>
    </row>
    <row r="66" spans="1:6" x14ac:dyDescent="0.2">
      <c r="A66" t="s">
        <v>70</v>
      </c>
      <c r="B66" t="e">
        <f ca="1">MASSIVE.STOCKS.AGG_MINUTE("ECL","o")</f>
        <v>#NAME?</v>
      </c>
      <c r="C66" t="e">
        <f ca="1">MASSIVE.STOCKS.AGG_MINUTE("ECL","h")</f>
        <v>#NAME?</v>
      </c>
      <c r="D66" t="e">
        <f ca="1">MASSIVE.STOCKS.AGG_MINUTE("ECL","l")</f>
        <v>#NAME?</v>
      </c>
      <c r="E66" t="e">
        <f ca="1">MASSIVE.STOCKS.AGG_MINUTE("ECL","c")</f>
        <v>#NAME?</v>
      </c>
      <c r="F66" t="e">
        <f ca="1">MASSIVE.STOCKS.AGG_MINUTE("ECL","v")</f>
        <v>#NAME?</v>
      </c>
    </row>
    <row r="67" spans="1:6" x14ac:dyDescent="0.2">
      <c r="A67" t="s">
        <v>71</v>
      </c>
      <c r="B67" t="e">
        <f ca="1">MASSIVE.STOCKS.AGG_MINUTE("EMR","o")</f>
        <v>#NAME?</v>
      </c>
      <c r="C67" t="e">
        <f ca="1">MASSIVE.STOCKS.AGG_MINUTE("EMR","h")</f>
        <v>#NAME?</v>
      </c>
      <c r="D67" t="e">
        <f ca="1">MASSIVE.STOCKS.AGG_MINUTE("EMR","l")</f>
        <v>#NAME?</v>
      </c>
      <c r="E67" t="e">
        <f ca="1">MASSIVE.STOCKS.AGG_MINUTE("EMR","c")</f>
        <v>#NAME?</v>
      </c>
      <c r="F67" t="e">
        <f ca="1">MASSIVE.STOCKS.AGG_MINUTE("EMR","v")</f>
        <v>#NAME?</v>
      </c>
    </row>
    <row r="68" spans="1:6" x14ac:dyDescent="0.2">
      <c r="A68" t="s">
        <v>72</v>
      </c>
      <c r="B68" t="e">
        <f ca="1">MASSIVE.STOCKS.AGG_MINUTE("EQIX","o")</f>
        <v>#NAME?</v>
      </c>
      <c r="C68" t="e">
        <f ca="1">MASSIVE.STOCKS.AGG_MINUTE("EQIX","h")</f>
        <v>#NAME?</v>
      </c>
      <c r="D68" t="e">
        <f ca="1">MASSIVE.STOCKS.AGG_MINUTE("EQIX","l")</f>
        <v>#NAME?</v>
      </c>
      <c r="E68" t="e">
        <f ca="1">MASSIVE.STOCKS.AGG_MINUTE("EQIX","c")</f>
        <v>#NAME?</v>
      </c>
      <c r="F68" t="e">
        <f ca="1">MASSIVE.STOCKS.AGG_MINUTE("EQIX","v")</f>
        <v>#NAME?</v>
      </c>
    </row>
    <row r="69" spans="1:6" x14ac:dyDescent="0.2">
      <c r="A69" t="s">
        <v>73</v>
      </c>
      <c r="B69" t="e">
        <f ca="1">MASSIVE.STOCKS.AGG_MINUTE("ETN","o")</f>
        <v>#NAME?</v>
      </c>
      <c r="C69" t="e">
        <f ca="1">MASSIVE.STOCKS.AGG_MINUTE("ETN","h")</f>
        <v>#NAME?</v>
      </c>
      <c r="D69" t="e">
        <f ca="1">MASSIVE.STOCKS.AGG_MINUTE("ETN","l")</f>
        <v>#NAME?</v>
      </c>
      <c r="E69" t="e">
        <f ca="1">MASSIVE.STOCKS.AGG_MINUTE("ETN","c")</f>
        <v>#NAME?</v>
      </c>
      <c r="F69" t="e">
        <f ca="1">MASSIVE.STOCKS.AGG_MINUTE("ETN","v")</f>
        <v>#NAME?</v>
      </c>
    </row>
    <row r="70" spans="1:6" x14ac:dyDescent="0.2">
      <c r="A70" t="s">
        <v>74</v>
      </c>
      <c r="B70" t="e">
        <f ca="1">MASSIVE.STOCKS.AGG_MINUTE("EW","o")</f>
        <v>#NAME?</v>
      </c>
      <c r="C70" t="e">
        <f ca="1">MASSIVE.STOCKS.AGG_MINUTE("EW","h")</f>
        <v>#NAME?</v>
      </c>
      <c r="D70" t="e">
        <f ca="1">MASSIVE.STOCKS.AGG_MINUTE("EW","l")</f>
        <v>#NAME?</v>
      </c>
      <c r="E70" t="e">
        <f ca="1">MASSIVE.STOCKS.AGG_MINUTE("EW","c")</f>
        <v>#NAME?</v>
      </c>
      <c r="F70" t="e">
        <f ca="1">MASSIVE.STOCKS.AGG_MINUTE("EW","v")</f>
        <v>#NAME?</v>
      </c>
    </row>
    <row r="71" spans="1:6" x14ac:dyDescent="0.2">
      <c r="A71" t="s">
        <v>75</v>
      </c>
      <c r="B71" t="e">
        <f ca="1">MASSIVE.STOCKS.AGG_MINUTE("EXC","o")</f>
        <v>#NAME?</v>
      </c>
      <c r="C71" t="e">
        <f ca="1">MASSIVE.STOCKS.AGG_MINUTE("EXC","h")</f>
        <v>#NAME?</v>
      </c>
      <c r="D71" t="e">
        <f ca="1">MASSIVE.STOCKS.AGG_MINUTE("EXC","l")</f>
        <v>#NAME?</v>
      </c>
      <c r="E71" t="e">
        <f ca="1">MASSIVE.STOCKS.AGG_MINUTE("EXC","c")</f>
        <v>#NAME?</v>
      </c>
      <c r="F71" t="e">
        <f ca="1">MASSIVE.STOCKS.AGG_MINUTE("EXC","v")</f>
        <v>#NAME?</v>
      </c>
    </row>
    <row r="72" spans="1:6" x14ac:dyDescent="0.2">
      <c r="A72" t="s">
        <v>76</v>
      </c>
      <c r="B72" t="e">
        <f ca="1">MASSIVE.STOCKS.AGG_MINUTE("F","o")</f>
        <v>#NAME?</v>
      </c>
      <c r="C72" t="e">
        <f ca="1">MASSIVE.STOCKS.AGG_MINUTE("F","h")</f>
        <v>#NAME?</v>
      </c>
      <c r="D72" t="e">
        <f ca="1">MASSIVE.STOCKS.AGG_MINUTE("F","l")</f>
        <v>#NAME?</v>
      </c>
      <c r="E72" t="e">
        <f ca="1">MASSIVE.STOCKS.AGG_MINUTE("F","c")</f>
        <v>#NAME?</v>
      </c>
      <c r="F72" t="e">
        <f ca="1">MASSIVE.STOCKS.AGG_MINUTE("F","v")</f>
        <v>#NAME?</v>
      </c>
    </row>
    <row r="73" spans="1:6" x14ac:dyDescent="0.2">
      <c r="A73" t="s">
        <v>77</v>
      </c>
      <c r="B73" t="e">
        <f ca="1">MASSIVE.STOCKS.AGG_MINUTE("FANG","o")</f>
        <v>#NAME?</v>
      </c>
      <c r="C73" t="e">
        <f ca="1">MASSIVE.STOCKS.AGG_MINUTE("FANG","h")</f>
        <v>#NAME?</v>
      </c>
      <c r="D73" t="e">
        <f ca="1">MASSIVE.STOCKS.AGG_MINUTE("FANG","l")</f>
        <v>#NAME?</v>
      </c>
      <c r="E73" t="e">
        <f ca="1">MASSIVE.STOCKS.AGG_MINUTE("FANG","c")</f>
        <v>#NAME?</v>
      </c>
      <c r="F73" t="e">
        <f ca="1">MASSIVE.STOCKS.AGG_MINUTE("FANG","v")</f>
        <v>#NAME?</v>
      </c>
    </row>
    <row r="74" spans="1:6" x14ac:dyDescent="0.2">
      <c r="A74" t="s">
        <v>78</v>
      </c>
      <c r="B74" t="e">
        <f ca="1">MASSIVE.STOCKS.AGG_MINUTE("FAST","o")</f>
        <v>#NAME?</v>
      </c>
      <c r="C74" t="e">
        <f ca="1">MASSIVE.STOCKS.AGG_MINUTE("FAST","h")</f>
        <v>#NAME?</v>
      </c>
      <c r="D74" t="e">
        <f ca="1">MASSIVE.STOCKS.AGG_MINUTE("FAST","l")</f>
        <v>#NAME?</v>
      </c>
      <c r="E74" t="e">
        <f ca="1">MASSIVE.STOCKS.AGG_MINUTE("FAST","c")</f>
        <v>#NAME?</v>
      </c>
      <c r="F74" t="e">
        <f ca="1">MASSIVE.STOCKS.AGG_MINUTE("FAST","v")</f>
        <v>#NAME?</v>
      </c>
    </row>
    <row r="75" spans="1:6" x14ac:dyDescent="0.2">
      <c r="A75" t="s">
        <v>79</v>
      </c>
      <c r="B75" t="e">
        <f ca="1">MASSIVE.STOCKS.AGG_MINUTE("FTNT","o")</f>
        <v>#NAME?</v>
      </c>
      <c r="C75" t="e">
        <f ca="1">MASSIVE.STOCKS.AGG_MINUTE("FTNT","h")</f>
        <v>#NAME?</v>
      </c>
      <c r="D75" t="e">
        <f ca="1">MASSIVE.STOCKS.AGG_MINUTE("FTNT","l")</f>
        <v>#NAME?</v>
      </c>
      <c r="E75" t="e">
        <f ca="1">MASSIVE.STOCKS.AGG_MINUTE("FTNT","c")</f>
        <v>#NAME?</v>
      </c>
      <c r="F75" t="e">
        <f ca="1">MASSIVE.STOCKS.AGG_MINUTE("FTNT","v")</f>
        <v>#NAME?</v>
      </c>
    </row>
    <row r="76" spans="1:6" x14ac:dyDescent="0.2">
      <c r="A76" t="s">
        <v>80</v>
      </c>
      <c r="B76" t="e">
        <f ca="1">MASSIVE.STOCKS.AGG_MINUTE("GD","o")</f>
        <v>#NAME?</v>
      </c>
      <c r="C76" t="e">
        <f ca="1">MASSIVE.STOCKS.AGG_MINUTE("GD","h")</f>
        <v>#NAME?</v>
      </c>
      <c r="D76" t="e">
        <f ca="1">MASSIVE.STOCKS.AGG_MINUTE("GD","l")</f>
        <v>#NAME?</v>
      </c>
      <c r="E76" t="e">
        <f ca="1">MASSIVE.STOCKS.AGG_MINUTE("GD","c")</f>
        <v>#NAME?</v>
      </c>
      <c r="F76" t="e">
        <f ca="1">MASSIVE.STOCKS.AGG_MINUTE("GD","v")</f>
        <v>#NAME?</v>
      </c>
    </row>
    <row r="77" spans="1:6" x14ac:dyDescent="0.2">
      <c r="A77" t="s">
        <v>81</v>
      </c>
      <c r="B77" t="e">
        <f ca="1">MASSIVE.STOCKS.AGG_MINUTE("GE","o")</f>
        <v>#NAME?</v>
      </c>
      <c r="C77" t="e">
        <f ca="1">MASSIVE.STOCKS.AGG_MINUTE("GE","h")</f>
        <v>#NAME?</v>
      </c>
      <c r="D77" t="e">
        <f ca="1">MASSIVE.STOCKS.AGG_MINUTE("GE","l")</f>
        <v>#NAME?</v>
      </c>
      <c r="E77" t="e">
        <f ca="1">MASSIVE.STOCKS.AGG_MINUTE("GE","c")</f>
        <v>#NAME?</v>
      </c>
      <c r="F77" t="e">
        <f ca="1">MASSIVE.STOCKS.AGG_MINUTE("GE","v")</f>
        <v>#NAME?</v>
      </c>
    </row>
    <row r="78" spans="1:6" x14ac:dyDescent="0.2">
      <c r="A78" t="s">
        <v>82</v>
      </c>
      <c r="B78" t="e">
        <f ca="1">MASSIVE.STOCKS.AGG_MINUTE("GEHC","o")</f>
        <v>#NAME?</v>
      </c>
      <c r="C78" t="e">
        <f ca="1">MASSIVE.STOCKS.AGG_MINUTE("GEHC","h")</f>
        <v>#NAME?</v>
      </c>
      <c r="D78" t="e">
        <f ca="1">MASSIVE.STOCKS.AGG_MINUTE("GEHC","l")</f>
        <v>#NAME?</v>
      </c>
      <c r="E78" t="e">
        <f ca="1">MASSIVE.STOCKS.AGG_MINUTE("GEHC","c")</f>
        <v>#NAME?</v>
      </c>
      <c r="F78" t="e">
        <f ca="1">MASSIVE.STOCKS.AGG_MINUTE("GEHC","v")</f>
        <v>#NAME?</v>
      </c>
    </row>
    <row r="79" spans="1:6" x14ac:dyDescent="0.2">
      <c r="A79" t="s">
        <v>83</v>
      </c>
      <c r="B79" t="e">
        <f ca="1">MASSIVE.STOCKS.AGG_MINUTE("GM","o")</f>
        <v>#NAME?</v>
      </c>
      <c r="C79" t="e">
        <f ca="1">MASSIVE.STOCKS.AGG_MINUTE("GM","h")</f>
        <v>#NAME?</v>
      </c>
      <c r="D79" t="e">
        <f ca="1">MASSIVE.STOCKS.AGG_MINUTE("GM","l")</f>
        <v>#NAME?</v>
      </c>
      <c r="E79" t="e">
        <f ca="1">MASSIVE.STOCKS.AGG_MINUTE("GM","c")</f>
        <v>#NAME?</v>
      </c>
      <c r="F79" t="e">
        <f ca="1">MASSIVE.STOCKS.AGG_MINUTE("GM","v")</f>
        <v>#NAME?</v>
      </c>
    </row>
    <row r="80" spans="1:6" x14ac:dyDescent="0.2">
      <c r="A80" t="s">
        <v>84</v>
      </c>
      <c r="B80" t="e">
        <f ca="1">MASSIVE.STOCKS.AGG_MINUTE("GOOG","o")</f>
        <v>#NAME?</v>
      </c>
      <c r="C80" t="e">
        <f ca="1">MASSIVE.STOCKS.AGG_MINUTE("GOOG","h")</f>
        <v>#NAME?</v>
      </c>
      <c r="D80" t="e">
        <f ca="1">MASSIVE.STOCKS.AGG_MINUTE("GOOG","l")</f>
        <v>#NAME?</v>
      </c>
      <c r="E80" t="e">
        <f ca="1">MASSIVE.STOCKS.AGG_MINUTE("GOOG","c")</f>
        <v>#NAME?</v>
      </c>
      <c r="F80" t="e">
        <f ca="1">MASSIVE.STOCKS.AGG_MINUTE("GOOG","v")</f>
        <v>#NAME?</v>
      </c>
    </row>
    <row r="81" spans="1:6" x14ac:dyDescent="0.2">
      <c r="A81" t="s">
        <v>85</v>
      </c>
      <c r="B81" t="e">
        <f ca="1">MASSIVE.STOCKS.AGG_MINUTE("GOOGL","o")</f>
        <v>#NAME?</v>
      </c>
      <c r="C81" t="e">
        <f ca="1">MASSIVE.STOCKS.AGG_MINUTE("GOOGL","h")</f>
        <v>#NAME?</v>
      </c>
      <c r="D81" t="e">
        <f ca="1">MASSIVE.STOCKS.AGG_MINUTE("GOOGL","l")</f>
        <v>#NAME?</v>
      </c>
      <c r="E81" t="e">
        <f ca="1">MASSIVE.STOCKS.AGG_MINUTE("GOOGL","c")</f>
        <v>#NAME?</v>
      </c>
      <c r="F81" t="e">
        <f ca="1">MASSIVE.STOCKS.AGG_MINUTE("GOOGL","v")</f>
        <v>#NAME?</v>
      </c>
    </row>
    <row r="82" spans="1:6" x14ac:dyDescent="0.2">
      <c r="A82" t="s">
        <v>86</v>
      </c>
      <c r="B82" t="e">
        <f ca="1">MASSIVE.STOCKS.AGG_MINUTE("GS","o")</f>
        <v>#NAME?</v>
      </c>
      <c r="C82" t="e">
        <f ca="1">MASSIVE.STOCKS.AGG_MINUTE("GS","h")</f>
        <v>#NAME?</v>
      </c>
      <c r="D82" t="e">
        <f ca="1">MASSIVE.STOCKS.AGG_MINUTE("GS","l")</f>
        <v>#NAME?</v>
      </c>
      <c r="E82" t="e">
        <f ca="1">MASSIVE.STOCKS.AGG_MINUTE("GS","c")</f>
        <v>#NAME?</v>
      </c>
      <c r="F82" t="e">
        <f ca="1">MASSIVE.STOCKS.AGG_MINUTE("GS","v")</f>
        <v>#NAME?</v>
      </c>
    </row>
    <row r="83" spans="1:6" x14ac:dyDescent="0.2">
      <c r="A83" t="s">
        <v>87</v>
      </c>
      <c r="B83" t="e">
        <f ca="1">MASSIVE.STOCKS.AGG_MINUTE("HCA","o")</f>
        <v>#NAME?</v>
      </c>
      <c r="C83" t="e">
        <f ca="1">MASSIVE.STOCKS.AGG_MINUTE("HCA","h")</f>
        <v>#NAME?</v>
      </c>
      <c r="D83" t="e">
        <f ca="1">MASSIVE.STOCKS.AGG_MINUTE("HCA","l")</f>
        <v>#NAME?</v>
      </c>
      <c r="E83" t="e">
        <f ca="1">MASSIVE.STOCKS.AGG_MINUTE("HCA","c")</f>
        <v>#NAME?</v>
      </c>
      <c r="F83" t="e">
        <f ca="1">MASSIVE.STOCKS.AGG_MINUTE("HCA","v")</f>
        <v>#NAME?</v>
      </c>
    </row>
    <row r="84" spans="1:6" x14ac:dyDescent="0.2">
      <c r="A84" t="s">
        <v>88</v>
      </c>
      <c r="B84" t="e">
        <f ca="1">MASSIVE.STOCKS.AGG_MINUTE("HD","o")</f>
        <v>#NAME?</v>
      </c>
      <c r="C84" t="e">
        <f ca="1">MASSIVE.STOCKS.AGG_MINUTE("HD","h")</f>
        <v>#NAME?</v>
      </c>
      <c r="D84" t="e">
        <f ca="1">MASSIVE.STOCKS.AGG_MINUTE("HD","l")</f>
        <v>#NAME?</v>
      </c>
      <c r="E84" t="e">
        <f ca="1">MASSIVE.STOCKS.AGG_MINUTE("HD","c")</f>
        <v>#NAME?</v>
      </c>
      <c r="F84" t="e">
        <f ca="1">MASSIVE.STOCKS.AGG_MINUTE("HD","v")</f>
        <v>#NAME?</v>
      </c>
    </row>
    <row r="85" spans="1:6" x14ac:dyDescent="0.2">
      <c r="A85" t="s">
        <v>89</v>
      </c>
      <c r="B85" t="e">
        <f ca="1">MASSIVE.STOCKS.AGG_MINUTE("HLT","o")</f>
        <v>#NAME?</v>
      </c>
      <c r="C85" t="e">
        <f ca="1">MASSIVE.STOCKS.AGG_MINUTE("HLT","h")</f>
        <v>#NAME?</v>
      </c>
      <c r="D85" t="e">
        <f ca="1">MASSIVE.STOCKS.AGG_MINUTE("HLT","l")</f>
        <v>#NAME?</v>
      </c>
      <c r="E85" t="e">
        <f ca="1">MASSIVE.STOCKS.AGG_MINUTE("HLT","c")</f>
        <v>#NAME?</v>
      </c>
      <c r="F85" t="e">
        <f ca="1">MASSIVE.STOCKS.AGG_MINUTE("HLT","v")</f>
        <v>#NAME?</v>
      </c>
    </row>
    <row r="86" spans="1:6" x14ac:dyDescent="0.2">
      <c r="A86" t="s">
        <v>90</v>
      </c>
      <c r="B86" t="e">
        <f ca="1">MASSIVE.STOCKS.AGG_MINUTE("HSY","o")</f>
        <v>#NAME?</v>
      </c>
      <c r="C86" t="e">
        <f ca="1">MASSIVE.STOCKS.AGG_MINUTE("HSY","h")</f>
        <v>#NAME?</v>
      </c>
      <c r="D86" t="e">
        <f ca="1">MASSIVE.STOCKS.AGG_MINUTE("HSY","l")</f>
        <v>#NAME?</v>
      </c>
      <c r="E86" t="e">
        <f ca="1">MASSIVE.STOCKS.AGG_MINUTE("HSY","c")</f>
        <v>#NAME?</v>
      </c>
      <c r="F86" t="e">
        <f ca="1">MASSIVE.STOCKS.AGG_MINUTE("HSY","v")</f>
        <v>#NAME?</v>
      </c>
    </row>
    <row r="87" spans="1:6" x14ac:dyDescent="0.2">
      <c r="A87" t="s">
        <v>91</v>
      </c>
      <c r="B87" t="e">
        <f ca="1">MASSIVE.STOCKS.AGG_MINUTE("HUBS","o")</f>
        <v>#NAME?</v>
      </c>
      <c r="C87" t="e">
        <f ca="1">MASSIVE.STOCKS.AGG_MINUTE("HUBS","h")</f>
        <v>#NAME?</v>
      </c>
      <c r="D87" t="e">
        <f ca="1">MASSIVE.STOCKS.AGG_MINUTE("HUBS","l")</f>
        <v>#NAME?</v>
      </c>
      <c r="E87" t="e">
        <f ca="1">MASSIVE.STOCKS.AGG_MINUTE("HUBS","c")</f>
        <v>#NAME?</v>
      </c>
      <c r="F87" t="e">
        <f ca="1">MASSIVE.STOCKS.AGG_MINUTE("HUBS","v")</f>
        <v>#NAME?</v>
      </c>
    </row>
    <row r="88" spans="1:6" x14ac:dyDescent="0.2">
      <c r="A88" t="s">
        <v>92</v>
      </c>
      <c r="B88" t="e">
        <f ca="1">MASSIVE.STOCKS.AGG_MINUTE("IBM","o")</f>
        <v>#NAME?</v>
      </c>
      <c r="C88" t="e">
        <f ca="1">MASSIVE.STOCKS.AGG_MINUTE("IBM","h")</f>
        <v>#NAME?</v>
      </c>
      <c r="D88" t="e">
        <f ca="1">MASSIVE.STOCKS.AGG_MINUTE("IBM","l")</f>
        <v>#NAME?</v>
      </c>
      <c r="E88" t="e">
        <f ca="1">MASSIVE.STOCKS.AGG_MINUTE("IBM","c")</f>
        <v>#NAME?</v>
      </c>
      <c r="F88" t="e">
        <f ca="1">MASSIVE.STOCKS.AGG_MINUTE("IBM","v")</f>
        <v>#NAME?</v>
      </c>
    </row>
    <row r="89" spans="1:6" x14ac:dyDescent="0.2">
      <c r="A89" t="s">
        <v>93</v>
      </c>
      <c r="B89" t="e">
        <f ca="1">MASSIVE.STOCKS.AGG_MINUTE("ICE","o")</f>
        <v>#NAME?</v>
      </c>
      <c r="C89" t="e">
        <f ca="1">MASSIVE.STOCKS.AGG_MINUTE("ICE","h")</f>
        <v>#NAME?</v>
      </c>
      <c r="D89" t="e">
        <f ca="1">MASSIVE.STOCKS.AGG_MINUTE("ICE","l")</f>
        <v>#NAME?</v>
      </c>
      <c r="E89" t="e">
        <f ca="1">MASSIVE.STOCKS.AGG_MINUTE("ICE","c")</f>
        <v>#NAME?</v>
      </c>
      <c r="F89" t="e">
        <f ca="1">MASSIVE.STOCKS.AGG_MINUTE("ICE","v")</f>
        <v>#NAME?</v>
      </c>
    </row>
    <row r="90" spans="1:6" x14ac:dyDescent="0.2">
      <c r="A90" t="s">
        <v>94</v>
      </c>
      <c r="B90" t="e">
        <f ca="1">MASSIVE.STOCKS.AGG_MINUTE("IDXX","o")</f>
        <v>#NAME?</v>
      </c>
      <c r="C90" t="e">
        <f ca="1">MASSIVE.STOCKS.AGG_MINUTE("IDXX","h")</f>
        <v>#NAME?</v>
      </c>
      <c r="D90" t="e">
        <f ca="1">MASSIVE.STOCKS.AGG_MINUTE("IDXX","l")</f>
        <v>#NAME?</v>
      </c>
      <c r="E90" t="e">
        <f ca="1">MASSIVE.STOCKS.AGG_MINUTE("IDXX","c")</f>
        <v>#NAME?</v>
      </c>
      <c r="F90" t="e">
        <f ca="1">MASSIVE.STOCKS.AGG_MINUTE("IDXX","v")</f>
        <v>#NAME?</v>
      </c>
    </row>
    <row r="91" spans="1:6" x14ac:dyDescent="0.2">
      <c r="A91" t="s">
        <v>95</v>
      </c>
      <c r="B91" t="e">
        <f ca="1">MASSIVE.STOCKS.AGG_MINUTE("INTC","o")</f>
        <v>#NAME?</v>
      </c>
      <c r="C91" t="e">
        <f ca="1">MASSIVE.STOCKS.AGG_MINUTE("INTC","h")</f>
        <v>#NAME?</v>
      </c>
      <c r="D91" t="e">
        <f ca="1">MASSIVE.STOCKS.AGG_MINUTE("INTC","l")</f>
        <v>#NAME?</v>
      </c>
      <c r="E91" t="e">
        <f ca="1">MASSIVE.STOCKS.AGG_MINUTE("INTC","c")</f>
        <v>#NAME?</v>
      </c>
      <c r="F91" t="e">
        <f ca="1">MASSIVE.STOCKS.AGG_MINUTE("INTC","v")</f>
        <v>#NAME?</v>
      </c>
    </row>
    <row r="92" spans="1:6" x14ac:dyDescent="0.2">
      <c r="A92" t="s">
        <v>96</v>
      </c>
      <c r="B92" t="e">
        <f ca="1">MASSIVE.STOCKS.AGG_MINUTE("INTU","o")</f>
        <v>#NAME?</v>
      </c>
      <c r="C92" t="e">
        <f ca="1">MASSIVE.STOCKS.AGG_MINUTE("INTU","h")</f>
        <v>#NAME?</v>
      </c>
      <c r="D92" t="e">
        <f ca="1">MASSIVE.STOCKS.AGG_MINUTE("INTU","l")</f>
        <v>#NAME?</v>
      </c>
      <c r="E92" t="e">
        <f ca="1">MASSIVE.STOCKS.AGG_MINUTE("INTU","c")</f>
        <v>#NAME?</v>
      </c>
      <c r="F92" t="e">
        <f ca="1">MASSIVE.STOCKS.AGG_MINUTE("INTU","v")</f>
        <v>#NAME?</v>
      </c>
    </row>
    <row r="93" spans="1:6" x14ac:dyDescent="0.2">
      <c r="A93" t="s">
        <v>97</v>
      </c>
      <c r="B93" t="e">
        <f ca="1">MASSIVE.STOCKS.AGG_MINUTE("IQV","o")</f>
        <v>#NAME?</v>
      </c>
      <c r="C93" t="e">
        <f ca="1">MASSIVE.STOCKS.AGG_MINUTE("IQV","h")</f>
        <v>#NAME?</v>
      </c>
      <c r="D93" t="e">
        <f ca="1">MASSIVE.STOCKS.AGG_MINUTE("IQV","l")</f>
        <v>#NAME?</v>
      </c>
      <c r="E93" t="e">
        <f ca="1">MASSIVE.STOCKS.AGG_MINUTE("IQV","c")</f>
        <v>#NAME?</v>
      </c>
      <c r="F93" t="e">
        <f ca="1">MASSIVE.STOCKS.AGG_MINUTE("IQV","v")</f>
        <v>#NAME?</v>
      </c>
    </row>
    <row r="94" spans="1:6" x14ac:dyDescent="0.2">
      <c r="A94" t="s">
        <v>98</v>
      </c>
      <c r="B94" t="e">
        <f ca="1">MASSIVE.STOCKS.AGG_MINUTE("ISRG","o")</f>
        <v>#NAME?</v>
      </c>
      <c r="C94" t="e">
        <f ca="1">MASSIVE.STOCKS.AGG_MINUTE("ISRG","h")</f>
        <v>#NAME?</v>
      </c>
      <c r="D94" t="e">
        <f ca="1">MASSIVE.STOCKS.AGG_MINUTE("ISRG","l")</f>
        <v>#NAME?</v>
      </c>
      <c r="E94" t="e">
        <f ca="1">MASSIVE.STOCKS.AGG_MINUTE("ISRG","c")</f>
        <v>#NAME?</v>
      </c>
      <c r="F94" t="e">
        <f ca="1">MASSIVE.STOCKS.AGG_MINUTE("ISRG","v")</f>
        <v>#NAME?</v>
      </c>
    </row>
    <row r="95" spans="1:6" x14ac:dyDescent="0.2">
      <c r="A95" t="s">
        <v>99</v>
      </c>
      <c r="B95" t="e">
        <f ca="1">MASSIVE.STOCKS.AGG_MINUTE("ITW","o")</f>
        <v>#NAME?</v>
      </c>
      <c r="C95" t="e">
        <f ca="1">MASSIVE.STOCKS.AGG_MINUTE("ITW","h")</f>
        <v>#NAME?</v>
      </c>
      <c r="D95" t="e">
        <f ca="1">MASSIVE.STOCKS.AGG_MINUTE("ITW","l")</f>
        <v>#NAME?</v>
      </c>
      <c r="E95" t="e">
        <f ca="1">MASSIVE.STOCKS.AGG_MINUTE("ITW","c")</f>
        <v>#NAME?</v>
      </c>
      <c r="F95" t="e">
        <f ca="1">MASSIVE.STOCKS.AGG_MINUTE("ITW","v")</f>
        <v>#NAME?</v>
      </c>
    </row>
    <row r="96" spans="1:6" x14ac:dyDescent="0.2">
      <c r="A96" t="s">
        <v>100</v>
      </c>
      <c r="B96" t="e">
        <f ca="1">MASSIVE.STOCKS.AGG_MINUTE("JNJ","o")</f>
        <v>#NAME?</v>
      </c>
      <c r="C96" t="e">
        <f ca="1">MASSIVE.STOCKS.AGG_MINUTE("JNJ","h")</f>
        <v>#NAME?</v>
      </c>
      <c r="D96" t="e">
        <f ca="1">MASSIVE.STOCKS.AGG_MINUTE("JNJ","l")</f>
        <v>#NAME?</v>
      </c>
      <c r="E96" t="e">
        <f ca="1">MASSIVE.STOCKS.AGG_MINUTE("JNJ","c")</f>
        <v>#NAME?</v>
      </c>
      <c r="F96" t="e">
        <f ca="1">MASSIVE.STOCKS.AGG_MINUTE("JNJ","v")</f>
        <v>#NAME?</v>
      </c>
    </row>
    <row r="97" spans="1:6" x14ac:dyDescent="0.2">
      <c r="A97" t="s">
        <v>101</v>
      </c>
      <c r="B97" t="e">
        <f ca="1">MASSIVE.STOCKS.AGG_MINUTE("JPM","o")</f>
        <v>#NAME?</v>
      </c>
      <c r="C97" t="e">
        <f ca="1">MASSIVE.STOCKS.AGG_MINUTE("JPM","h")</f>
        <v>#NAME?</v>
      </c>
      <c r="D97" t="e">
        <f ca="1">MASSIVE.STOCKS.AGG_MINUTE("JPM","l")</f>
        <v>#NAME?</v>
      </c>
      <c r="E97" t="e">
        <f ca="1">MASSIVE.STOCKS.AGG_MINUTE("JPM","c")</f>
        <v>#NAME?</v>
      </c>
      <c r="F97" t="e">
        <f ca="1">MASSIVE.STOCKS.AGG_MINUTE("JPM","v")</f>
        <v>#NAME?</v>
      </c>
    </row>
    <row r="98" spans="1:6" x14ac:dyDescent="0.2">
      <c r="A98" t="s">
        <v>102</v>
      </c>
      <c r="B98" t="e">
        <f ca="1">MASSIVE.STOCKS.AGG_MINUTE("KDP","o")</f>
        <v>#NAME?</v>
      </c>
      <c r="C98" t="e">
        <f ca="1">MASSIVE.STOCKS.AGG_MINUTE("KDP","h")</f>
        <v>#NAME?</v>
      </c>
      <c r="D98" t="e">
        <f ca="1">MASSIVE.STOCKS.AGG_MINUTE("KDP","l")</f>
        <v>#NAME?</v>
      </c>
      <c r="E98" t="e">
        <f ca="1">MASSIVE.STOCKS.AGG_MINUTE("KDP","c")</f>
        <v>#NAME?</v>
      </c>
      <c r="F98" t="e">
        <f ca="1">MASSIVE.STOCKS.AGG_MINUTE("KDP","v")</f>
        <v>#NAME?</v>
      </c>
    </row>
    <row r="99" spans="1:6" x14ac:dyDescent="0.2">
      <c r="A99" t="s">
        <v>103</v>
      </c>
      <c r="B99" t="e">
        <f ca="1">MASSIVE.STOCKS.AGG_MINUTE("KLAC","o")</f>
        <v>#NAME?</v>
      </c>
      <c r="C99" t="e">
        <f ca="1">MASSIVE.STOCKS.AGG_MINUTE("KLAC","h")</f>
        <v>#NAME?</v>
      </c>
      <c r="D99" t="e">
        <f ca="1">MASSIVE.STOCKS.AGG_MINUTE("KLAC","l")</f>
        <v>#NAME?</v>
      </c>
      <c r="E99" t="e">
        <f ca="1">MASSIVE.STOCKS.AGG_MINUTE("KLAC","c")</f>
        <v>#NAME?</v>
      </c>
      <c r="F99" t="e">
        <f ca="1">MASSIVE.STOCKS.AGG_MINUTE("KLAC","v")</f>
        <v>#NAME?</v>
      </c>
    </row>
    <row r="100" spans="1:6" x14ac:dyDescent="0.2">
      <c r="A100" t="s">
        <v>104</v>
      </c>
      <c r="B100" t="e">
        <f ca="1">MASSIVE.STOCKS.AGG_MINUTE("KMB","o")</f>
        <v>#NAME?</v>
      </c>
      <c r="C100" t="e">
        <f ca="1">MASSIVE.STOCKS.AGG_MINUTE("KMB","h")</f>
        <v>#NAME?</v>
      </c>
      <c r="D100" t="e">
        <f ca="1">MASSIVE.STOCKS.AGG_MINUTE("KMB","l")</f>
        <v>#NAME?</v>
      </c>
      <c r="E100" t="e">
        <f ca="1">MASSIVE.STOCKS.AGG_MINUTE("KMB","c")</f>
        <v>#NAME?</v>
      </c>
      <c r="F100" t="e">
        <f ca="1">MASSIVE.STOCKS.AGG_MINUTE("KMB","v")</f>
        <v>#NAME?</v>
      </c>
    </row>
    <row r="101" spans="1:6" x14ac:dyDescent="0.2">
      <c r="A101" t="s">
        <v>105</v>
      </c>
      <c r="B101" t="e">
        <f ca="1">MASSIVE.STOCKS.AGG_MINUTE("KO","o")</f>
        <v>#NAME?</v>
      </c>
      <c r="C101" t="e">
        <f ca="1">MASSIVE.STOCKS.AGG_MINUTE("KO","h")</f>
        <v>#NAME?</v>
      </c>
      <c r="D101" t="e">
        <f ca="1">MASSIVE.STOCKS.AGG_MINUTE("KO","l")</f>
        <v>#NAME?</v>
      </c>
      <c r="E101" t="e">
        <f ca="1">MASSIVE.STOCKS.AGG_MINUTE("KO","c")</f>
        <v>#NAME?</v>
      </c>
      <c r="F101" t="e">
        <f ca="1">MASSIVE.STOCKS.AGG_MINUTE("KO","v")</f>
        <v>#NAME?</v>
      </c>
    </row>
    <row r="102" spans="1:6" x14ac:dyDescent="0.2">
      <c r="A102" t="s">
        <v>106</v>
      </c>
      <c r="B102" t="e">
        <f ca="1">MASSIVE.STOCKS.AGG_MINUTE("KR","o")</f>
        <v>#NAME?</v>
      </c>
      <c r="C102" t="e">
        <f ca="1">MASSIVE.STOCKS.AGG_MINUTE("KR","h")</f>
        <v>#NAME?</v>
      </c>
      <c r="D102" t="e">
        <f ca="1">MASSIVE.STOCKS.AGG_MINUTE("KR","l")</f>
        <v>#NAME?</v>
      </c>
      <c r="E102" t="e">
        <f ca="1">MASSIVE.STOCKS.AGG_MINUTE("KR","c")</f>
        <v>#NAME?</v>
      </c>
      <c r="F102" t="e">
        <f ca="1">MASSIVE.STOCKS.AGG_MINUTE("KR","v")</f>
        <v>#NAME?</v>
      </c>
    </row>
    <row r="103" spans="1:6" x14ac:dyDescent="0.2">
      <c r="A103" t="s">
        <v>107</v>
      </c>
      <c r="B103" t="e">
        <f ca="1">MASSIVE.STOCKS.AGG_MINUTE("LHX","o")</f>
        <v>#NAME?</v>
      </c>
      <c r="C103" t="e">
        <f ca="1">MASSIVE.STOCKS.AGG_MINUTE("LHX","h")</f>
        <v>#NAME?</v>
      </c>
      <c r="D103" t="e">
        <f ca="1">MASSIVE.STOCKS.AGG_MINUTE("LHX","l")</f>
        <v>#NAME?</v>
      </c>
      <c r="E103" t="e">
        <f ca="1">MASSIVE.STOCKS.AGG_MINUTE("LHX","c")</f>
        <v>#NAME?</v>
      </c>
      <c r="F103" t="e">
        <f ca="1">MASSIVE.STOCKS.AGG_MINUTE("LHX","v")</f>
        <v>#NAME?</v>
      </c>
    </row>
    <row r="104" spans="1:6" x14ac:dyDescent="0.2">
      <c r="A104" t="s">
        <v>108</v>
      </c>
      <c r="B104" t="e">
        <f ca="1">MASSIVE.STOCKS.AGG_MINUTE("LIN","o")</f>
        <v>#NAME?</v>
      </c>
      <c r="C104" t="e">
        <f ca="1">MASSIVE.STOCKS.AGG_MINUTE("LIN","h")</f>
        <v>#NAME?</v>
      </c>
      <c r="D104" t="e">
        <f ca="1">MASSIVE.STOCKS.AGG_MINUTE("LIN","l")</f>
        <v>#NAME?</v>
      </c>
      <c r="E104" t="e">
        <f ca="1">MASSIVE.STOCKS.AGG_MINUTE("LIN","c")</f>
        <v>#NAME?</v>
      </c>
      <c r="F104" t="e">
        <f ca="1">MASSIVE.STOCKS.AGG_MINUTE("LIN","v")</f>
        <v>#NAME?</v>
      </c>
    </row>
    <row r="105" spans="1:6" x14ac:dyDescent="0.2">
      <c r="A105" t="s">
        <v>109</v>
      </c>
      <c r="B105" t="e">
        <f ca="1">MASSIVE.STOCKS.AGG_MINUTE("LLY","o")</f>
        <v>#NAME?</v>
      </c>
      <c r="C105" t="e">
        <f ca="1">MASSIVE.STOCKS.AGG_MINUTE("LLY","h")</f>
        <v>#NAME?</v>
      </c>
      <c r="D105" t="e">
        <f ca="1">MASSIVE.STOCKS.AGG_MINUTE("LLY","l")</f>
        <v>#NAME?</v>
      </c>
      <c r="E105" t="e">
        <f ca="1">MASSIVE.STOCKS.AGG_MINUTE("LLY","c")</f>
        <v>#NAME?</v>
      </c>
      <c r="F105" t="e">
        <f ca="1">MASSIVE.STOCKS.AGG_MINUTE("LLY","v")</f>
        <v>#NAME?</v>
      </c>
    </row>
    <row r="106" spans="1:6" x14ac:dyDescent="0.2">
      <c r="A106" t="s">
        <v>110</v>
      </c>
      <c r="B106" t="e">
        <f ca="1">MASSIVE.STOCKS.AGG_MINUTE("LOW","o")</f>
        <v>#NAME?</v>
      </c>
      <c r="C106" t="e">
        <f ca="1">MASSIVE.STOCKS.AGG_MINUTE("LOW","h")</f>
        <v>#NAME?</v>
      </c>
      <c r="D106" t="e">
        <f ca="1">MASSIVE.STOCKS.AGG_MINUTE("LOW","l")</f>
        <v>#NAME?</v>
      </c>
      <c r="E106" t="e">
        <f ca="1">MASSIVE.STOCKS.AGG_MINUTE("LOW","c")</f>
        <v>#NAME?</v>
      </c>
      <c r="F106" t="e">
        <f ca="1">MASSIVE.STOCKS.AGG_MINUTE("LOW","v")</f>
        <v>#NAME?</v>
      </c>
    </row>
    <row r="107" spans="1:6" x14ac:dyDescent="0.2">
      <c r="A107" t="s">
        <v>111</v>
      </c>
      <c r="B107" t="e">
        <f ca="1">MASSIVE.STOCKS.AGG_MINUTE("LRCX","o")</f>
        <v>#NAME?</v>
      </c>
      <c r="C107" t="e">
        <f ca="1">MASSIVE.STOCKS.AGG_MINUTE("LRCX","h")</f>
        <v>#NAME?</v>
      </c>
      <c r="D107" t="e">
        <f ca="1">MASSIVE.STOCKS.AGG_MINUTE("LRCX","l")</f>
        <v>#NAME?</v>
      </c>
      <c r="E107" t="e">
        <f ca="1">MASSIVE.STOCKS.AGG_MINUTE("LRCX","c")</f>
        <v>#NAME?</v>
      </c>
      <c r="F107" t="e">
        <f ca="1">MASSIVE.STOCKS.AGG_MINUTE("LRCX","v")</f>
        <v>#NAME?</v>
      </c>
    </row>
    <row r="108" spans="1:6" x14ac:dyDescent="0.2">
      <c r="A108" t="s">
        <v>112</v>
      </c>
      <c r="B108" t="e">
        <f ca="1">MASSIVE.STOCKS.AGG_MINUTE("LULU","o")</f>
        <v>#NAME?</v>
      </c>
      <c r="C108" t="e">
        <f ca="1">MASSIVE.STOCKS.AGG_MINUTE("LULU","h")</f>
        <v>#NAME?</v>
      </c>
      <c r="D108" t="e">
        <f ca="1">MASSIVE.STOCKS.AGG_MINUTE("LULU","l")</f>
        <v>#NAME?</v>
      </c>
      <c r="E108" t="e">
        <f ca="1">MASSIVE.STOCKS.AGG_MINUTE("LULU","c")</f>
        <v>#NAME?</v>
      </c>
      <c r="F108" t="e">
        <f ca="1">MASSIVE.STOCKS.AGG_MINUTE("LULU","v")</f>
        <v>#NAME?</v>
      </c>
    </row>
    <row r="109" spans="1:6" x14ac:dyDescent="0.2">
      <c r="A109" t="s">
        <v>113</v>
      </c>
      <c r="B109" t="e">
        <f ca="1">MASSIVE.STOCKS.AGG_MINUTE("LUV","o")</f>
        <v>#NAME?</v>
      </c>
      <c r="C109" t="e">
        <f ca="1">MASSIVE.STOCKS.AGG_MINUTE("LUV","h")</f>
        <v>#NAME?</v>
      </c>
      <c r="D109" t="e">
        <f ca="1">MASSIVE.STOCKS.AGG_MINUTE("LUV","l")</f>
        <v>#NAME?</v>
      </c>
      <c r="E109" t="e">
        <f ca="1">MASSIVE.STOCKS.AGG_MINUTE("LUV","c")</f>
        <v>#NAME?</v>
      </c>
      <c r="F109" t="e">
        <f ca="1">MASSIVE.STOCKS.AGG_MINUTE("LUV","v")</f>
        <v>#NAME?</v>
      </c>
    </row>
    <row r="110" spans="1:6" x14ac:dyDescent="0.2">
      <c r="A110" t="s">
        <v>114</v>
      </c>
      <c r="B110" t="e">
        <f ca="1">MASSIVE.STOCKS.AGG_MINUTE("MA","o")</f>
        <v>#NAME?</v>
      </c>
      <c r="C110" t="e">
        <f ca="1">MASSIVE.STOCKS.AGG_MINUTE("MA","h")</f>
        <v>#NAME?</v>
      </c>
      <c r="D110" t="e">
        <f ca="1">MASSIVE.STOCKS.AGG_MINUTE("MA","l")</f>
        <v>#NAME?</v>
      </c>
      <c r="E110" t="e">
        <f ca="1">MASSIVE.STOCKS.AGG_MINUTE("MA","c")</f>
        <v>#NAME?</v>
      </c>
      <c r="F110" t="e">
        <f ca="1">MASSIVE.STOCKS.AGG_MINUTE("MA","v")</f>
        <v>#NAME?</v>
      </c>
    </row>
    <row r="111" spans="1:6" x14ac:dyDescent="0.2">
      <c r="A111" t="s">
        <v>115</v>
      </c>
      <c r="B111" t="e">
        <f ca="1">MASSIVE.STOCKS.AGG_MINUTE("MAR","o")</f>
        <v>#NAME?</v>
      </c>
      <c r="C111" t="e">
        <f ca="1">MASSIVE.STOCKS.AGG_MINUTE("MAR","h")</f>
        <v>#NAME?</v>
      </c>
      <c r="D111" t="e">
        <f ca="1">MASSIVE.STOCKS.AGG_MINUTE("MAR","l")</f>
        <v>#NAME?</v>
      </c>
      <c r="E111" t="e">
        <f ca="1">MASSIVE.STOCKS.AGG_MINUTE("MAR","c")</f>
        <v>#NAME?</v>
      </c>
      <c r="F111" t="e">
        <f ca="1">MASSIVE.STOCKS.AGG_MINUTE("MAR","v")</f>
        <v>#NAME?</v>
      </c>
    </row>
    <row r="112" spans="1:6" x14ac:dyDescent="0.2">
      <c r="A112" t="s">
        <v>116</v>
      </c>
      <c r="B112" t="e">
        <f ca="1">MASSIVE.STOCKS.AGG_MINUTE("MCD","o")</f>
        <v>#NAME?</v>
      </c>
      <c r="C112" t="e">
        <f ca="1">MASSIVE.STOCKS.AGG_MINUTE("MCD","h")</f>
        <v>#NAME?</v>
      </c>
      <c r="D112" t="e">
        <f ca="1">MASSIVE.STOCKS.AGG_MINUTE("MCD","l")</f>
        <v>#NAME?</v>
      </c>
      <c r="E112" t="e">
        <f ca="1">MASSIVE.STOCKS.AGG_MINUTE("MCD","c")</f>
        <v>#NAME?</v>
      </c>
      <c r="F112" t="e">
        <f ca="1">MASSIVE.STOCKS.AGG_MINUTE("MCD","v")</f>
        <v>#NAME?</v>
      </c>
    </row>
    <row r="113" spans="1:6" x14ac:dyDescent="0.2">
      <c r="A113" t="s">
        <v>117</v>
      </c>
      <c r="B113" t="e">
        <f ca="1">MASSIVE.STOCKS.AGG_MINUTE("MCHP","o")</f>
        <v>#NAME?</v>
      </c>
      <c r="C113" t="e">
        <f ca="1">MASSIVE.STOCKS.AGG_MINUTE("MCHP","h")</f>
        <v>#NAME?</v>
      </c>
      <c r="D113" t="e">
        <f ca="1">MASSIVE.STOCKS.AGG_MINUTE("MCHP","l")</f>
        <v>#NAME?</v>
      </c>
      <c r="E113" t="e">
        <f ca="1">MASSIVE.STOCKS.AGG_MINUTE("MCHP","c")</f>
        <v>#NAME?</v>
      </c>
      <c r="F113" t="e">
        <f ca="1">MASSIVE.STOCKS.AGG_MINUTE("MCHP","v")</f>
        <v>#NAME?</v>
      </c>
    </row>
    <row r="114" spans="1:6" x14ac:dyDescent="0.2">
      <c r="A114" t="s">
        <v>118</v>
      </c>
      <c r="B114" t="e">
        <f ca="1">MASSIVE.STOCKS.AGG_MINUTE("MCO","o")</f>
        <v>#NAME?</v>
      </c>
      <c r="C114" t="e">
        <f ca="1">MASSIVE.STOCKS.AGG_MINUTE("MCO","h")</f>
        <v>#NAME?</v>
      </c>
      <c r="D114" t="e">
        <f ca="1">MASSIVE.STOCKS.AGG_MINUTE("MCO","l")</f>
        <v>#NAME?</v>
      </c>
      <c r="E114" t="e">
        <f ca="1">MASSIVE.STOCKS.AGG_MINUTE("MCO","c")</f>
        <v>#NAME?</v>
      </c>
      <c r="F114" t="e">
        <f ca="1">MASSIVE.STOCKS.AGG_MINUTE("MCO","v")</f>
        <v>#NAME?</v>
      </c>
    </row>
    <row r="115" spans="1:6" x14ac:dyDescent="0.2">
      <c r="A115" t="s">
        <v>119</v>
      </c>
      <c r="B115" t="e">
        <f ca="1">MASSIVE.STOCKS.AGG_MINUTE("MDB","o")</f>
        <v>#NAME?</v>
      </c>
      <c r="C115" t="e">
        <f ca="1">MASSIVE.STOCKS.AGG_MINUTE("MDB","h")</f>
        <v>#NAME?</v>
      </c>
      <c r="D115" t="e">
        <f ca="1">MASSIVE.STOCKS.AGG_MINUTE("MDB","l")</f>
        <v>#NAME?</v>
      </c>
      <c r="E115" t="e">
        <f ca="1">MASSIVE.STOCKS.AGG_MINUTE("MDB","c")</f>
        <v>#NAME?</v>
      </c>
      <c r="F115" t="e">
        <f ca="1">MASSIVE.STOCKS.AGG_MINUTE("MDB","v")</f>
        <v>#NAME?</v>
      </c>
    </row>
    <row r="116" spans="1:6" x14ac:dyDescent="0.2">
      <c r="A116" t="s">
        <v>120</v>
      </c>
      <c r="B116" t="e">
        <f ca="1">MASSIVE.STOCKS.AGG_MINUTE("MDLZ","o")</f>
        <v>#NAME?</v>
      </c>
      <c r="C116" t="e">
        <f ca="1">MASSIVE.STOCKS.AGG_MINUTE("MDLZ","h")</f>
        <v>#NAME?</v>
      </c>
      <c r="D116" t="e">
        <f ca="1">MASSIVE.STOCKS.AGG_MINUTE("MDLZ","l")</f>
        <v>#NAME?</v>
      </c>
      <c r="E116" t="e">
        <f ca="1">MASSIVE.STOCKS.AGG_MINUTE("MDLZ","c")</f>
        <v>#NAME?</v>
      </c>
      <c r="F116" t="e">
        <f ca="1">MASSIVE.STOCKS.AGG_MINUTE("MDLZ","v")</f>
        <v>#NAME?</v>
      </c>
    </row>
    <row r="117" spans="1:6" x14ac:dyDescent="0.2">
      <c r="A117" t="s">
        <v>121</v>
      </c>
      <c r="B117" t="e">
        <f ca="1">MASSIVE.STOCKS.AGG_MINUTE("MELI","o")</f>
        <v>#NAME?</v>
      </c>
      <c r="C117" t="e">
        <f ca="1">MASSIVE.STOCKS.AGG_MINUTE("MELI","h")</f>
        <v>#NAME?</v>
      </c>
      <c r="D117" t="e">
        <f ca="1">MASSIVE.STOCKS.AGG_MINUTE("MELI","l")</f>
        <v>#NAME?</v>
      </c>
      <c r="E117" t="e">
        <f ca="1">MASSIVE.STOCKS.AGG_MINUTE("MELI","c")</f>
        <v>#NAME?</v>
      </c>
      <c r="F117" t="e">
        <f ca="1">MASSIVE.STOCKS.AGG_MINUTE("MELI","v")</f>
        <v>#NAME?</v>
      </c>
    </row>
    <row r="118" spans="1:6" x14ac:dyDescent="0.2">
      <c r="A118" t="s">
        <v>122</v>
      </c>
      <c r="B118" t="e">
        <f ca="1">MASSIVE.STOCKS.AGG_MINUTE("META","o")</f>
        <v>#NAME?</v>
      </c>
      <c r="C118" t="e">
        <f ca="1">MASSIVE.STOCKS.AGG_MINUTE("META","h")</f>
        <v>#NAME?</v>
      </c>
      <c r="D118" t="e">
        <f ca="1">MASSIVE.STOCKS.AGG_MINUTE("META","l")</f>
        <v>#NAME?</v>
      </c>
      <c r="E118" t="e">
        <f ca="1">MASSIVE.STOCKS.AGG_MINUTE("META","c")</f>
        <v>#NAME?</v>
      </c>
      <c r="F118" t="e">
        <f ca="1">MASSIVE.STOCKS.AGG_MINUTE("META","v")</f>
        <v>#NAME?</v>
      </c>
    </row>
    <row r="119" spans="1:6" x14ac:dyDescent="0.2">
      <c r="A119" t="s">
        <v>123</v>
      </c>
      <c r="B119" t="e">
        <f ca="1">MASSIVE.STOCKS.AGG_MINUTE("MLM","o")</f>
        <v>#NAME?</v>
      </c>
      <c r="C119" t="e">
        <f ca="1">MASSIVE.STOCKS.AGG_MINUTE("MLM","h")</f>
        <v>#NAME?</v>
      </c>
      <c r="D119" t="e">
        <f ca="1">MASSIVE.STOCKS.AGG_MINUTE("MLM","l")</f>
        <v>#NAME?</v>
      </c>
      <c r="E119" t="e">
        <f ca="1">MASSIVE.STOCKS.AGG_MINUTE("MLM","c")</f>
        <v>#NAME?</v>
      </c>
      <c r="F119" t="e">
        <f ca="1">MASSIVE.STOCKS.AGG_MINUTE("MLM","v")</f>
        <v>#NAME?</v>
      </c>
    </row>
    <row r="120" spans="1:6" x14ac:dyDescent="0.2">
      <c r="A120" t="s">
        <v>124</v>
      </c>
      <c r="B120" t="e">
        <f ca="1">MASSIVE.STOCKS.AGG_MINUTE("MNST","o")</f>
        <v>#NAME?</v>
      </c>
      <c r="C120" t="e">
        <f ca="1">MASSIVE.STOCKS.AGG_MINUTE("MNST","h")</f>
        <v>#NAME?</v>
      </c>
      <c r="D120" t="e">
        <f ca="1">MASSIVE.STOCKS.AGG_MINUTE("MNST","l")</f>
        <v>#NAME?</v>
      </c>
      <c r="E120" t="e">
        <f ca="1">MASSIVE.STOCKS.AGG_MINUTE("MNST","c")</f>
        <v>#NAME?</v>
      </c>
      <c r="F120" t="e">
        <f ca="1">MASSIVE.STOCKS.AGG_MINUTE("MNST","v")</f>
        <v>#NAME?</v>
      </c>
    </row>
    <row r="121" spans="1:6" x14ac:dyDescent="0.2">
      <c r="A121" t="s">
        <v>125</v>
      </c>
      <c r="B121" t="e">
        <f ca="1">MASSIVE.STOCKS.AGG_MINUTE("MO","o")</f>
        <v>#NAME?</v>
      </c>
      <c r="C121" t="e">
        <f ca="1">MASSIVE.STOCKS.AGG_MINUTE("MO","h")</f>
        <v>#NAME?</v>
      </c>
      <c r="D121" t="e">
        <f ca="1">MASSIVE.STOCKS.AGG_MINUTE("MO","l")</f>
        <v>#NAME?</v>
      </c>
      <c r="E121" t="e">
        <f ca="1">MASSIVE.STOCKS.AGG_MINUTE("MO","c")</f>
        <v>#NAME?</v>
      </c>
      <c r="F121" t="e">
        <f ca="1">MASSIVE.STOCKS.AGG_MINUTE("MO","v")</f>
        <v>#NAME?</v>
      </c>
    </row>
    <row r="122" spans="1:6" x14ac:dyDescent="0.2">
      <c r="A122" t="s">
        <v>126</v>
      </c>
      <c r="B122" t="e">
        <f ca="1">MASSIVE.STOCKS.AGG_MINUTE("MPC","o")</f>
        <v>#NAME?</v>
      </c>
      <c r="C122" t="e">
        <f ca="1">MASSIVE.STOCKS.AGG_MINUTE("MPC","h")</f>
        <v>#NAME?</v>
      </c>
      <c r="D122" t="e">
        <f ca="1">MASSIVE.STOCKS.AGG_MINUTE("MPC","l")</f>
        <v>#NAME?</v>
      </c>
      <c r="E122" t="e">
        <f ca="1">MASSIVE.STOCKS.AGG_MINUTE("MPC","c")</f>
        <v>#NAME?</v>
      </c>
      <c r="F122" t="e">
        <f ca="1">MASSIVE.STOCKS.AGG_MINUTE("MPC","v")</f>
        <v>#NAME?</v>
      </c>
    </row>
    <row r="123" spans="1:6" x14ac:dyDescent="0.2">
      <c r="A123" t="s">
        <v>127</v>
      </c>
      <c r="B123" t="e">
        <f ca="1">MASSIVE.STOCKS.AGG_MINUTE("MRK","o")</f>
        <v>#NAME?</v>
      </c>
      <c r="C123" t="e">
        <f ca="1">MASSIVE.STOCKS.AGG_MINUTE("MRK","h")</f>
        <v>#NAME?</v>
      </c>
      <c r="D123" t="e">
        <f ca="1">MASSIVE.STOCKS.AGG_MINUTE("MRK","l")</f>
        <v>#NAME?</v>
      </c>
      <c r="E123" t="e">
        <f ca="1">MASSIVE.STOCKS.AGG_MINUTE("MRK","c")</f>
        <v>#NAME?</v>
      </c>
      <c r="F123" t="e">
        <f ca="1">MASSIVE.STOCKS.AGG_MINUTE("MRK","v")</f>
        <v>#NAME?</v>
      </c>
    </row>
    <row r="124" spans="1:6" x14ac:dyDescent="0.2">
      <c r="A124" t="s">
        <v>128</v>
      </c>
      <c r="B124" t="e">
        <f ca="1">MASSIVE.STOCKS.AGG_MINUTE("MRVL","o")</f>
        <v>#NAME?</v>
      </c>
      <c r="C124" t="e">
        <f ca="1">MASSIVE.STOCKS.AGG_MINUTE("MRVL","h")</f>
        <v>#NAME?</v>
      </c>
      <c r="D124" t="e">
        <f ca="1">MASSIVE.STOCKS.AGG_MINUTE("MRVL","l")</f>
        <v>#NAME?</v>
      </c>
      <c r="E124" t="e">
        <f ca="1">MASSIVE.STOCKS.AGG_MINUTE("MRVL","c")</f>
        <v>#NAME?</v>
      </c>
      <c r="F124" t="e">
        <f ca="1">MASSIVE.STOCKS.AGG_MINUTE("MRVL","v")</f>
        <v>#NAME?</v>
      </c>
    </row>
    <row r="125" spans="1:6" x14ac:dyDescent="0.2">
      <c r="A125" t="s">
        <v>129</v>
      </c>
      <c r="B125" t="e">
        <f ca="1">MASSIVE.STOCKS.AGG_MINUTE("MSCI","o")</f>
        <v>#NAME?</v>
      </c>
      <c r="C125" t="e">
        <f ca="1">MASSIVE.STOCKS.AGG_MINUTE("MSCI","h")</f>
        <v>#NAME?</v>
      </c>
      <c r="D125" t="e">
        <f ca="1">MASSIVE.STOCKS.AGG_MINUTE("MSCI","l")</f>
        <v>#NAME?</v>
      </c>
      <c r="E125" t="e">
        <f ca="1">MASSIVE.STOCKS.AGG_MINUTE("MSCI","c")</f>
        <v>#NAME?</v>
      </c>
      <c r="F125" t="e">
        <f ca="1">MASSIVE.STOCKS.AGG_MINUTE("MSCI","v")</f>
        <v>#NAME?</v>
      </c>
    </row>
    <row r="126" spans="1:6" x14ac:dyDescent="0.2">
      <c r="A126" t="s">
        <v>130</v>
      </c>
      <c r="B126" t="e">
        <f ca="1">MASSIVE.STOCKS.AGG_MINUTE("MSFT","o")</f>
        <v>#NAME?</v>
      </c>
      <c r="C126" t="e">
        <f ca="1">MASSIVE.STOCKS.AGG_MINUTE("MSFT","h")</f>
        <v>#NAME?</v>
      </c>
      <c r="D126" t="e">
        <f ca="1">MASSIVE.STOCKS.AGG_MINUTE("MSFT","l")</f>
        <v>#NAME?</v>
      </c>
      <c r="E126" t="e">
        <f ca="1">MASSIVE.STOCKS.AGG_MINUTE("MSFT","c")</f>
        <v>#NAME?</v>
      </c>
      <c r="F126" t="e">
        <f ca="1">MASSIVE.STOCKS.AGG_MINUTE("MSFT","v")</f>
        <v>#NAME?</v>
      </c>
    </row>
    <row r="127" spans="1:6" x14ac:dyDescent="0.2">
      <c r="A127" t="s">
        <v>131</v>
      </c>
      <c r="B127" t="e">
        <f ca="1">MASSIVE.STOCKS.AGG_MINUTE("MSI","o")</f>
        <v>#NAME?</v>
      </c>
      <c r="C127" t="e">
        <f ca="1">MASSIVE.STOCKS.AGG_MINUTE("MSI","h")</f>
        <v>#NAME?</v>
      </c>
      <c r="D127" t="e">
        <f ca="1">MASSIVE.STOCKS.AGG_MINUTE("MSI","l")</f>
        <v>#NAME?</v>
      </c>
      <c r="E127" t="e">
        <f ca="1">MASSIVE.STOCKS.AGG_MINUTE("MSI","c")</f>
        <v>#NAME?</v>
      </c>
      <c r="F127" t="e">
        <f ca="1">MASSIVE.STOCKS.AGG_MINUTE("MSI","v")</f>
        <v>#NAME?</v>
      </c>
    </row>
    <row r="128" spans="1:6" x14ac:dyDescent="0.2">
      <c r="A128" t="s">
        <v>132</v>
      </c>
      <c r="B128" t="e">
        <f ca="1">MASSIVE.STOCKS.AGG_MINUTE("MTD","o")</f>
        <v>#NAME?</v>
      </c>
      <c r="C128" t="e">
        <f ca="1">MASSIVE.STOCKS.AGG_MINUTE("MTD","h")</f>
        <v>#NAME?</v>
      </c>
      <c r="D128" t="e">
        <f ca="1">MASSIVE.STOCKS.AGG_MINUTE("MTD","l")</f>
        <v>#NAME?</v>
      </c>
      <c r="E128" t="e">
        <f ca="1">MASSIVE.STOCKS.AGG_MINUTE("MTD","c")</f>
        <v>#NAME?</v>
      </c>
      <c r="F128" t="e">
        <f ca="1">MASSIVE.STOCKS.AGG_MINUTE("MTD","v")</f>
        <v>#NAME?</v>
      </c>
    </row>
    <row r="129" spans="1:6" x14ac:dyDescent="0.2">
      <c r="A129" t="s">
        <v>133</v>
      </c>
      <c r="B129" t="e">
        <f ca="1">MASSIVE.STOCKS.AGG_MINUTE("MU","o")</f>
        <v>#NAME?</v>
      </c>
      <c r="C129" t="e">
        <f ca="1">MASSIVE.STOCKS.AGG_MINUTE("MU","h")</f>
        <v>#NAME?</v>
      </c>
      <c r="D129" t="e">
        <f ca="1">MASSIVE.STOCKS.AGG_MINUTE("MU","l")</f>
        <v>#NAME?</v>
      </c>
      <c r="E129" t="e">
        <f ca="1">MASSIVE.STOCKS.AGG_MINUTE("MU","c")</f>
        <v>#NAME?</v>
      </c>
      <c r="F129" t="e">
        <f ca="1">MASSIVE.STOCKS.AGG_MINUTE("MU","v")</f>
        <v>#NAME?</v>
      </c>
    </row>
    <row r="130" spans="1:6" x14ac:dyDescent="0.2">
      <c r="A130" t="s">
        <v>134</v>
      </c>
      <c r="B130" t="e">
        <f ca="1">MASSIVE.STOCKS.AGG_MINUTE("NDAQ","o")</f>
        <v>#NAME?</v>
      </c>
      <c r="C130" t="e">
        <f ca="1">MASSIVE.STOCKS.AGG_MINUTE("NDAQ","h")</f>
        <v>#NAME?</v>
      </c>
      <c r="D130" t="e">
        <f ca="1">MASSIVE.STOCKS.AGG_MINUTE("NDAQ","l")</f>
        <v>#NAME?</v>
      </c>
      <c r="E130" t="e">
        <f ca="1">MASSIVE.STOCKS.AGG_MINUTE("NDAQ","c")</f>
        <v>#NAME?</v>
      </c>
      <c r="F130" t="e">
        <f ca="1">MASSIVE.STOCKS.AGG_MINUTE("NDAQ","v")</f>
        <v>#NAME?</v>
      </c>
    </row>
    <row r="131" spans="1:6" x14ac:dyDescent="0.2">
      <c r="A131" t="s">
        <v>135</v>
      </c>
      <c r="B131" t="e">
        <f ca="1">MASSIVE.STOCKS.AGG_MINUTE("NEM","o")</f>
        <v>#NAME?</v>
      </c>
      <c r="C131" t="e">
        <f ca="1">MASSIVE.STOCKS.AGG_MINUTE("NEM","h")</f>
        <v>#NAME?</v>
      </c>
      <c r="D131" t="e">
        <f ca="1">MASSIVE.STOCKS.AGG_MINUTE("NEM","l")</f>
        <v>#NAME?</v>
      </c>
      <c r="E131" t="e">
        <f ca="1">MASSIVE.STOCKS.AGG_MINUTE("NEM","c")</f>
        <v>#NAME?</v>
      </c>
      <c r="F131" t="e">
        <f ca="1">MASSIVE.STOCKS.AGG_MINUTE("NEM","v")</f>
        <v>#NAME?</v>
      </c>
    </row>
    <row r="132" spans="1:6" x14ac:dyDescent="0.2">
      <c r="A132" t="s">
        <v>136</v>
      </c>
      <c r="B132" t="e">
        <f ca="1">MASSIVE.STOCKS.AGG_MINUTE("NET","o")</f>
        <v>#NAME?</v>
      </c>
      <c r="C132" t="e">
        <f ca="1">MASSIVE.STOCKS.AGG_MINUTE("NET","h")</f>
        <v>#NAME?</v>
      </c>
      <c r="D132" t="e">
        <f ca="1">MASSIVE.STOCKS.AGG_MINUTE("NET","l")</f>
        <v>#NAME?</v>
      </c>
      <c r="E132" t="e">
        <f ca="1">MASSIVE.STOCKS.AGG_MINUTE("NET","c")</f>
        <v>#NAME?</v>
      </c>
      <c r="F132" t="e">
        <f ca="1">MASSIVE.STOCKS.AGG_MINUTE("NET","v")</f>
        <v>#NAME?</v>
      </c>
    </row>
    <row r="133" spans="1:6" x14ac:dyDescent="0.2">
      <c r="A133" t="s">
        <v>137</v>
      </c>
      <c r="B133" t="e">
        <f ca="1">MASSIVE.STOCKS.AGG_MINUTE("NFLX","o")</f>
        <v>#NAME?</v>
      </c>
      <c r="C133" t="e">
        <f ca="1">MASSIVE.STOCKS.AGG_MINUTE("NFLX","h")</f>
        <v>#NAME?</v>
      </c>
      <c r="D133" t="e">
        <f ca="1">MASSIVE.STOCKS.AGG_MINUTE("NFLX","l")</f>
        <v>#NAME?</v>
      </c>
      <c r="E133" t="e">
        <f ca="1">MASSIVE.STOCKS.AGG_MINUTE("NFLX","c")</f>
        <v>#NAME?</v>
      </c>
      <c r="F133" t="e">
        <f ca="1">MASSIVE.STOCKS.AGG_MINUTE("NFLX","v")</f>
        <v>#NAME?</v>
      </c>
    </row>
    <row r="134" spans="1:6" x14ac:dyDescent="0.2">
      <c r="A134" t="s">
        <v>138</v>
      </c>
      <c r="B134" t="e">
        <f ca="1">MASSIVE.STOCKS.AGG_MINUTE("NOC","o")</f>
        <v>#NAME?</v>
      </c>
      <c r="C134" t="e">
        <f ca="1">MASSIVE.STOCKS.AGG_MINUTE("NOC","h")</f>
        <v>#NAME?</v>
      </c>
      <c r="D134" t="e">
        <f ca="1">MASSIVE.STOCKS.AGG_MINUTE("NOC","l")</f>
        <v>#NAME?</v>
      </c>
      <c r="E134" t="e">
        <f ca="1">MASSIVE.STOCKS.AGG_MINUTE("NOC","c")</f>
        <v>#NAME?</v>
      </c>
      <c r="F134" t="e">
        <f ca="1">MASSIVE.STOCKS.AGG_MINUTE("NOC","v")</f>
        <v>#NAME?</v>
      </c>
    </row>
    <row r="135" spans="1:6" x14ac:dyDescent="0.2">
      <c r="A135" t="s">
        <v>139</v>
      </c>
      <c r="B135" t="e">
        <f ca="1">MASSIVE.STOCKS.AGG_MINUTE("NOW","o")</f>
        <v>#NAME?</v>
      </c>
      <c r="C135" t="e">
        <f ca="1">MASSIVE.STOCKS.AGG_MINUTE("NOW","h")</f>
        <v>#NAME?</v>
      </c>
      <c r="D135" t="e">
        <f ca="1">MASSIVE.STOCKS.AGG_MINUTE("NOW","l")</f>
        <v>#NAME?</v>
      </c>
      <c r="E135" t="e">
        <f ca="1">MASSIVE.STOCKS.AGG_MINUTE("NOW","c")</f>
        <v>#NAME?</v>
      </c>
      <c r="F135" t="e">
        <f ca="1">MASSIVE.STOCKS.AGG_MINUTE("NOW","v")</f>
        <v>#NAME?</v>
      </c>
    </row>
    <row r="136" spans="1:6" x14ac:dyDescent="0.2">
      <c r="A136" t="s">
        <v>140</v>
      </c>
      <c r="B136" t="e">
        <f ca="1">MASSIVE.STOCKS.AGG_MINUTE("NSC","o")</f>
        <v>#NAME?</v>
      </c>
      <c r="C136" t="e">
        <f ca="1">MASSIVE.STOCKS.AGG_MINUTE("NSC","h")</f>
        <v>#NAME?</v>
      </c>
      <c r="D136" t="e">
        <f ca="1">MASSIVE.STOCKS.AGG_MINUTE("NSC","l")</f>
        <v>#NAME?</v>
      </c>
      <c r="E136" t="e">
        <f ca="1">MASSIVE.STOCKS.AGG_MINUTE("NSC","c")</f>
        <v>#NAME?</v>
      </c>
      <c r="F136" t="e">
        <f ca="1">MASSIVE.STOCKS.AGG_MINUTE("NSC","v")</f>
        <v>#NAME?</v>
      </c>
    </row>
    <row r="137" spans="1:6" x14ac:dyDescent="0.2">
      <c r="A137" t="s">
        <v>141</v>
      </c>
      <c r="B137" t="e">
        <f ca="1">MASSIVE.STOCKS.AGG_MINUTE("NVDA","o")</f>
        <v>#NAME?</v>
      </c>
      <c r="C137" t="e">
        <f ca="1">MASSIVE.STOCKS.AGG_MINUTE("NVDA","h")</f>
        <v>#NAME?</v>
      </c>
      <c r="D137" t="e">
        <f ca="1">MASSIVE.STOCKS.AGG_MINUTE("NVDA","l")</f>
        <v>#NAME?</v>
      </c>
      <c r="E137" t="e">
        <f ca="1">MASSIVE.STOCKS.AGG_MINUTE("NVDA","c")</f>
        <v>#NAME?</v>
      </c>
      <c r="F137" t="e">
        <f ca="1">MASSIVE.STOCKS.AGG_MINUTE("NVDA","v")</f>
        <v>#NAME?</v>
      </c>
    </row>
    <row r="138" spans="1:6" x14ac:dyDescent="0.2">
      <c r="A138" t="s">
        <v>142</v>
      </c>
      <c r="B138" t="e">
        <f ca="1">MASSIVE.STOCKS.AGG_MINUTE("O","o")</f>
        <v>#NAME?</v>
      </c>
      <c r="C138" t="e">
        <f ca="1">MASSIVE.STOCKS.AGG_MINUTE("O","h")</f>
        <v>#NAME?</v>
      </c>
      <c r="D138" t="e">
        <f ca="1">MASSIVE.STOCKS.AGG_MINUTE("O","l")</f>
        <v>#NAME?</v>
      </c>
      <c r="E138" t="e">
        <f ca="1">MASSIVE.STOCKS.AGG_MINUTE("O","c")</f>
        <v>#NAME?</v>
      </c>
      <c r="F138" t="e">
        <f ca="1">MASSIVE.STOCKS.AGG_MINUTE("O","v")</f>
        <v>#NAME?</v>
      </c>
    </row>
    <row r="139" spans="1:6" x14ac:dyDescent="0.2">
      <c r="A139" t="s">
        <v>143</v>
      </c>
      <c r="B139" t="e">
        <f ca="1">MASSIVE.STOCKS.AGG_MINUTE("ODFL","o")</f>
        <v>#NAME?</v>
      </c>
      <c r="C139" t="e">
        <f ca="1">MASSIVE.STOCKS.AGG_MINUTE("ODFL","h")</f>
        <v>#NAME?</v>
      </c>
      <c r="D139" t="e">
        <f ca="1">MASSIVE.STOCKS.AGG_MINUTE("ODFL","l")</f>
        <v>#NAME?</v>
      </c>
      <c r="E139" t="e">
        <f ca="1">MASSIVE.STOCKS.AGG_MINUTE("ODFL","c")</f>
        <v>#NAME?</v>
      </c>
      <c r="F139" t="e">
        <f ca="1">MASSIVE.STOCKS.AGG_MINUTE("ODFL","v")</f>
        <v>#NAME?</v>
      </c>
    </row>
    <row r="140" spans="1:6" x14ac:dyDescent="0.2">
      <c r="A140" t="s">
        <v>144</v>
      </c>
      <c r="B140" t="e">
        <f ca="1">MASSIVE.STOCKS.AGG_MINUTE("OKE","o")</f>
        <v>#NAME?</v>
      </c>
      <c r="C140" t="e">
        <f ca="1">MASSIVE.STOCKS.AGG_MINUTE("OKE","h")</f>
        <v>#NAME?</v>
      </c>
      <c r="D140" t="e">
        <f ca="1">MASSIVE.STOCKS.AGG_MINUTE("OKE","l")</f>
        <v>#NAME?</v>
      </c>
      <c r="E140" t="e">
        <f ca="1">MASSIVE.STOCKS.AGG_MINUTE("OKE","c")</f>
        <v>#NAME?</v>
      </c>
      <c r="F140" t="e">
        <f ca="1">MASSIVE.STOCKS.AGG_MINUTE("OKE","v")</f>
        <v>#NAME?</v>
      </c>
    </row>
    <row r="141" spans="1:6" x14ac:dyDescent="0.2">
      <c r="A141" t="s">
        <v>145</v>
      </c>
      <c r="B141" t="e">
        <f ca="1">MASSIVE.STOCKS.AGG_MINUTE("ON","o")</f>
        <v>#NAME?</v>
      </c>
      <c r="C141" t="e">
        <f ca="1">MASSIVE.STOCKS.AGG_MINUTE("ON","h")</f>
        <v>#NAME?</v>
      </c>
      <c r="D141" t="e">
        <f ca="1">MASSIVE.STOCKS.AGG_MINUTE("ON","l")</f>
        <v>#NAME?</v>
      </c>
      <c r="E141" t="e">
        <f ca="1">MASSIVE.STOCKS.AGG_MINUTE("ON","c")</f>
        <v>#NAME?</v>
      </c>
      <c r="F141" t="e">
        <f ca="1">MASSIVE.STOCKS.AGG_MINUTE("ON","v")</f>
        <v>#NAME?</v>
      </c>
    </row>
    <row r="142" spans="1:6" x14ac:dyDescent="0.2">
      <c r="A142" t="s">
        <v>146</v>
      </c>
      <c r="B142" t="e">
        <f ca="1">MASSIVE.STOCKS.AGG_MINUTE("ORCL","o")</f>
        <v>#NAME?</v>
      </c>
      <c r="C142" t="e">
        <f ca="1">MASSIVE.STOCKS.AGG_MINUTE("ORCL","h")</f>
        <v>#NAME?</v>
      </c>
      <c r="D142" t="e">
        <f ca="1">MASSIVE.STOCKS.AGG_MINUTE("ORCL","l")</f>
        <v>#NAME?</v>
      </c>
      <c r="E142" t="e">
        <f ca="1">MASSIVE.STOCKS.AGG_MINUTE("ORCL","c")</f>
        <v>#NAME?</v>
      </c>
      <c r="F142" t="e">
        <f ca="1">MASSIVE.STOCKS.AGG_MINUTE("ORCL","v")</f>
        <v>#NAME?</v>
      </c>
    </row>
    <row r="143" spans="1:6" x14ac:dyDescent="0.2">
      <c r="A143" t="s">
        <v>147</v>
      </c>
      <c r="B143" t="e">
        <f ca="1">MASSIVE.STOCKS.AGG_MINUTE("ORLY","o")</f>
        <v>#NAME?</v>
      </c>
      <c r="C143" t="e">
        <f ca="1">MASSIVE.STOCKS.AGG_MINUTE("ORLY","h")</f>
        <v>#NAME?</v>
      </c>
      <c r="D143" t="e">
        <f ca="1">MASSIVE.STOCKS.AGG_MINUTE("ORLY","l")</f>
        <v>#NAME?</v>
      </c>
      <c r="E143" t="e">
        <f ca="1">MASSIVE.STOCKS.AGG_MINUTE("ORLY","c")</f>
        <v>#NAME?</v>
      </c>
      <c r="F143" t="e">
        <f ca="1">MASSIVE.STOCKS.AGG_MINUTE("ORLY","v")</f>
        <v>#NAME?</v>
      </c>
    </row>
    <row r="144" spans="1:6" x14ac:dyDescent="0.2">
      <c r="A144" t="s">
        <v>148</v>
      </c>
      <c r="B144" t="e">
        <f ca="1">MASSIVE.STOCKS.AGG_MINUTE("PANW","o")</f>
        <v>#NAME?</v>
      </c>
      <c r="C144" t="e">
        <f ca="1">MASSIVE.STOCKS.AGG_MINUTE("PANW","h")</f>
        <v>#NAME?</v>
      </c>
      <c r="D144" t="e">
        <f ca="1">MASSIVE.STOCKS.AGG_MINUTE("PANW","l")</f>
        <v>#NAME?</v>
      </c>
      <c r="E144" t="e">
        <f ca="1">MASSIVE.STOCKS.AGG_MINUTE("PANW","c")</f>
        <v>#NAME?</v>
      </c>
      <c r="F144" t="e">
        <f ca="1">MASSIVE.STOCKS.AGG_MINUTE("PANW","v")</f>
        <v>#NAME?</v>
      </c>
    </row>
    <row r="145" spans="1:6" x14ac:dyDescent="0.2">
      <c r="A145" t="s">
        <v>149</v>
      </c>
      <c r="B145" t="e">
        <f ca="1">MASSIVE.STOCKS.AGG_MINUTE("PAYX","o")</f>
        <v>#NAME?</v>
      </c>
      <c r="C145" t="e">
        <f ca="1">MASSIVE.STOCKS.AGG_MINUTE("PAYX","h")</f>
        <v>#NAME?</v>
      </c>
      <c r="D145" t="e">
        <f ca="1">MASSIVE.STOCKS.AGG_MINUTE("PAYX","l")</f>
        <v>#NAME?</v>
      </c>
      <c r="E145" t="e">
        <f ca="1">MASSIVE.STOCKS.AGG_MINUTE("PAYX","c")</f>
        <v>#NAME?</v>
      </c>
      <c r="F145" t="e">
        <f ca="1">MASSIVE.STOCKS.AGG_MINUTE("PAYX","v")</f>
        <v>#NAME?</v>
      </c>
    </row>
    <row r="146" spans="1:6" x14ac:dyDescent="0.2">
      <c r="A146" t="s">
        <v>150</v>
      </c>
      <c r="B146" t="e">
        <f ca="1">MASSIVE.STOCKS.AGG_MINUTE("PEP","o")</f>
        <v>#NAME?</v>
      </c>
      <c r="C146" t="e">
        <f ca="1">MASSIVE.STOCKS.AGG_MINUTE("PEP","h")</f>
        <v>#NAME?</v>
      </c>
      <c r="D146" t="e">
        <f ca="1">MASSIVE.STOCKS.AGG_MINUTE("PEP","l")</f>
        <v>#NAME?</v>
      </c>
      <c r="E146" t="e">
        <f ca="1">MASSIVE.STOCKS.AGG_MINUTE("PEP","c")</f>
        <v>#NAME?</v>
      </c>
      <c r="F146" t="e">
        <f ca="1">MASSIVE.STOCKS.AGG_MINUTE("PEP","v")</f>
        <v>#NAME?</v>
      </c>
    </row>
    <row r="147" spans="1:6" x14ac:dyDescent="0.2">
      <c r="A147" t="s">
        <v>151</v>
      </c>
      <c r="B147" t="e">
        <f ca="1">MASSIVE.STOCKS.AGG_MINUTE("PFE","o")</f>
        <v>#NAME?</v>
      </c>
      <c r="C147" t="e">
        <f ca="1">MASSIVE.STOCKS.AGG_MINUTE("PFE","h")</f>
        <v>#NAME?</v>
      </c>
      <c r="D147" t="e">
        <f ca="1">MASSIVE.STOCKS.AGG_MINUTE("PFE","l")</f>
        <v>#NAME?</v>
      </c>
      <c r="E147" t="e">
        <f ca="1">MASSIVE.STOCKS.AGG_MINUTE("PFE","c")</f>
        <v>#NAME?</v>
      </c>
      <c r="F147" t="e">
        <f ca="1">MASSIVE.STOCKS.AGG_MINUTE("PFE","v")</f>
        <v>#NAME?</v>
      </c>
    </row>
    <row r="148" spans="1:6" x14ac:dyDescent="0.2">
      <c r="A148" t="s">
        <v>152</v>
      </c>
      <c r="B148" t="e">
        <f ca="1">MASSIVE.STOCKS.AGG_MINUTE("PG","o")</f>
        <v>#NAME?</v>
      </c>
      <c r="C148" t="e">
        <f ca="1">MASSIVE.STOCKS.AGG_MINUTE("PG","h")</f>
        <v>#NAME?</v>
      </c>
      <c r="D148" t="e">
        <f ca="1">MASSIVE.STOCKS.AGG_MINUTE("PG","l")</f>
        <v>#NAME?</v>
      </c>
      <c r="E148" t="e">
        <f ca="1">MASSIVE.STOCKS.AGG_MINUTE("PG","c")</f>
        <v>#NAME?</v>
      </c>
      <c r="F148" t="e">
        <f ca="1">MASSIVE.STOCKS.AGG_MINUTE("PG","v")</f>
        <v>#NAME?</v>
      </c>
    </row>
    <row r="149" spans="1:6" x14ac:dyDescent="0.2">
      <c r="A149" t="s">
        <v>153</v>
      </c>
      <c r="B149" t="e">
        <f ca="1">MASSIVE.STOCKS.AGG_MINUTE("PGR","o")</f>
        <v>#NAME?</v>
      </c>
      <c r="C149" t="e">
        <f ca="1">MASSIVE.STOCKS.AGG_MINUTE("PGR","h")</f>
        <v>#NAME?</v>
      </c>
      <c r="D149" t="e">
        <f ca="1">MASSIVE.STOCKS.AGG_MINUTE("PGR","l")</f>
        <v>#NAME?</v>
      </c>
      <c r="E149" t="e">
        <f ca="1">MASSIVE.STOCKS.AGG_MINUTE("PGR","c")</f>
        <v>#NAME?</v>
      </c>
      <c r="F149" t="e">
        <f ca="1">MASSIVE.STOCKS.AGG_MINUTE("PGR","v")</f>
        <v>#NAME?</v>
      </c>
    </row>
    <row r="150" spans="1:6" x14ac:dyDescent="0.2">
      <c r="A150" t="s">
        <v>154</v>
      </c>
      <c r="B150" t="e">
        <f ca="1">MASSIVE.STOCKS.AGG_MINUTE("PLD","o")</f>
        <v>#NAME?</v>
      </c>
      <c r="C150" t="e">
        <f ca="1">MASSIVE.STOCKS.AGG_MINUTE("PLD","h")</f>
        <v>#NAME?</v>
      </c>
      <c r="D150" t="e">
        <f ca="1">MASSIVE.STOCKS.AGG_MINUTE("PLD","l")</f>
        <v>#NAME?</v>
      </c>
      <c r="E150" t="e">
        <f ca="1">MASSIVE.STOCKS.AGG_MINUTE("PLD","c")</f>
        <v>#NAME?</v>
      </c>
      <c r="F150" t="e">
        <f ca="1">MASSIVE.STOCKS.AGG_MINUTE("PLD","v")</f>
        <v>#NAME?</v>
      </c>
    </row>
    <row r="151" spans="1:6" x14ac:dyDescent="0.2">
      <c r="A151" t="s">
        <v>155</v>
      </c>
      <c r="B151" t="e">
        <f ca="1">MASSIVE.STOCKS.AGG_MINUTE("PLTR","o")</f>
        <v>#NAME?</v>
      </c>
      <c r="C151" t="e">
        <f ca="1">MASSIVE.STOCKS.AGG_MINUTE("PLTR","h")</f>
        <v>#NAME?</v>
      </c>
      <c r="D151" t="e">
        <f ca="1">MASSIVE.STOCKS.AGG_MINUTE("PLTR","l")</f>
        <v>#NAME?</v>
      </c>
      <c r="E151" t="e">
        <f ca="1">MASSIVE.STOCKS.AGG_MINUTE("PLTR","c")</f>
        <v>#NAME?</v>
      </c>
      <c r="F151" t="e">
        <f ca="1">MASSIVE.STOCKS.AGG_MINUTE("PLTR","v")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AGG_MINUTE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Reid</cp:lastModifiedBy>
  <dcterms:modified xsi:type="dcterms:W3CDTF">2026-04-13T20:22:12Z</dcterms:modified>
</cp:coreProperties>
</file>